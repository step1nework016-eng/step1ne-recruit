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e01a08196b4b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et Summary" sheetId="1" r:id="R45a405305f054886"/>
    <x:sheet xmlns:r="http://schemas.openxmlformats.org/officeDocument/2006/relationships" name="01_Qualified Pool" sheetId="2" r:id="R3e517be37dca4782"/>
    <x:sheet xmlns:r="http://schemas.openxmlformats.org/officeDocument/2006/relationships" name="02_Contact Enrichment" sheetId="3" r:id="R4a96fa8ebb764993"/>
    <x:sheet xmlns:r="http://schemas.openxmlformats.org/officeDocument/2006/relationships" name="03_Rejected_Mismatch" sheetId="4" r:id="Rb649bbf692fb4131"/>
    <x:sheet xmlns:r="http://schemas.openxmlformats.org/officeDocument/2006/relationships" name="04_Run Log" sheetId="5" r:id="Rf4b00dce40dc4c1e"/>
    <x:sheet xmlns:r="http://schemas.openxmlformats.org/officeDocument/2006/relationships" name="05_Talent DNA" sheetId="6" r:id="Rb1c99cb7fe7c4d0b"/>
    <x:sheet xmlns:r="http://schemas.openxmlformats.org/officeDocument/2006/relationships" name="06_Source Mix" sheetId="7" r:id="Rddb3edad565c46fb"/>
    <x:sheet xmlns:r="http://schemas.openxmlformats.org/officeDocument/2006/relationships" name="07_Prompt Rules" sheetId="8" r:id="Ra079e8e75fa14365"/>
    <x:sheet xmlns:r="http://schemas.openxmlformats.org/officeDocument/2006/relationships" name="08_Next Expansion" sheetId="9" r:id="R2f8696b306484d1b"/>
    <x:sheet xmlns:r="http://schemas.openxmlformats.org/officeDocument/2006/relationships" name="09_Prompt V3 Locked" sheetId="10" r:id="Rc7ebae80cdd04fec"/>
    <x:sheet xmlns:r="http://schemas.openxmlformats.org/officeDocument/2006/relationships" name="10_Contact Sprint V16" sheetId="11" r:id="R7f7401a5610c4720"/>
    <x:sheet xmlns:r="http://schemas.openxmlformats.org/officeDocument/2006/relationships" name="11_Graph Expansion V16" sheetId="12" r:id="Rd235a4ed00264076"/>
    <x:sheet xmlns:r="http://schemas.openxmlformats.org/officeDocument/2006/relationships" name="12_Horizontal Web V17" sheetId="13" r:id="R144a720553354c19"/>
    <x:sheet xmlns:r="http://schemas.openxmlformats.org/officeDocument/2006/relationships" name="13_Router Matrix V1" sheetId="14" r:id="R3b07e949d17c4438"/>
    <x:sheet xmlns:r="http://schemas.openxmlformats.org/officeDocument/2006/relationships" name="14_Five JD Route Tests" sheetId="15" r:id="R1f12fbb3977c420e"/>
    <x:sheet xmlns:r="http://schemas.openxmlformats.org/officeDocument/2006/relationships" name="15_Router Decision Rules" sheetId="16" r:id="Ra0b2d6bb86634a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8"/>
      <x:color rgb="FFFFFFFF"/>
      <x:name val="Microsoft JhengHei"/>
    </x:font>
    <x:font>
      <x:b/>
      <x:sz val="11"/>
      <x:color rgb="FF1565C0"/>
      <x:name val="Carlito"/>
    </x:font>
    <x:font>
      <x:b/>
      <x:sz val="11"/>
      <x:color rgb="FFC62828"/>
      <x:name val="Carlito"/>
    </x:font>
    <x:font>
      <x:b/>
      <x:sz val="11"/>
      <x:color rgb="FFFFFFFF"/>
      <x:name val="Microsoft JhengHei"/>
    </x:font>
    <x:font>
      <x:b/>
      <x:sz val="15"/>
      <x:name val="Carlito"/>
    </x:font>
    <x:font>
      <x:b/>
      <x:sz val="11"/>
      <x:color rgb="FFD97706"/>
      <x:name val="Carlito"/>
    </x:font>
    <x:font>
      <x:b/>
      <x:sz val="14"/>
      <x:name val="Carlito"/>
    </x:font>
    <x:font>
      <x:b/>
      <x:sz val="10"/>
      <x:color rgb="FF102A43"/>
      <x:name val="Microsoft JhengHei"/>
    </x:font>
    <x:font>
      <x:sz val="10"/>
      <x:color rgb="FF102A43"/>
      <x:name val="Microsoft JhengHei"/>
    </x:font>
    <x:font>
      <x:b/>
      <x:sz val="10"/>
      <x:color rgb="FFFFFFFF"/>
      <x:name val="Microsoft JhengHei"/>
    </x:font>
  </x:fonts>
  <x:fills count="8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F"/>
      </x:patternFill>
    </x:fill>
    <x:fill>
      <x:patternFill patternType="solid">
        <x:fgColor rgb="FFFCE8E6"/>
      </x:patternFill>
    </x:fill>
    <x:fill>
      <x:patternFill patternType="solid">
        <x:fgColor rgb="FF1565C0"/>
      </x:patternFill>
    </x:fill>
    <x:fill>
      <x:patternFill patternType="solid">
        <x:fgColor rgb="FFF5F7FA"/>
      </x:patternFill>
    </x:fill>
    <x:fill>
      <x:patternFill patternType="solid">
        <x:fgColor rgb="FFFFF4D6"/>
      </x:patternFill>
    </x:fill>
  </x:fills>
  <x:borders count="1">
    <x:border/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8" fillId="3" borderId="0" xfId="0" applyNumberFormat="1" applyFont="1" applyFill="1" applyBorder="1"/>
    <x:xf numFmtId="0" fontId="8" fillId="4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horizontal="center" vertical="center"/>
    </x:xf>
    <x:xf numFmtId="0" fontId="8" fillId="7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  <x:color rgb="FF198754"/>
      </x:font>
      <x:fill>
        <x:patternFill>
          <x:bgColor rgb="FFEAF7EE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198754"/>
      </x:font>
      <x:fill>
        <x:patternFill>
          <x:bgColor rgb="FFEAF7EE"/>
        </x:patternFill>
      </x:fill>
    </x:dxf>
    <x:dxf>
      <x:font>
        <x:b/>
        <x:color rgb="FFC62828"/>
      </x:font>
      <x:fill>
        <x:patternFill>
          <x:bgColor rgb="FFFCE8E6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198754"/>
      </x:font>
      <x:fill>
        <x:patternFill>
          <x:bgColor rgb="FFEAF7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7610f4a93f41fe" /><Relationship Type="http://schemas.openxmlformats.org/officeDocument/2006/relationships/theme" Target="/xl/theme/theme1.xml" Id="R19bfc80226b74075" /><Relationship Type="http://schemas.openxmlformats.org/officeDocument/2006/relationships/sharedStrings" Target="/xl/sharedStrings.xml" Id="R6717a4f3e6b642fe" /><Relationship Type="http://schemas.openxmlformats.org/officeDocument/2006/relationships/worksheet" Target="/xl/worksheets/sheet1.xml" Id="R45a405305f054886" /><Relationship Type="http://schemas.openxmlformats.org/officeDocument/2006/relationships/worksheet" Target="/xl/worksheets/sheet2.xml" Id="R3e517be37dca4782" /><Relationship Type="http://schemas.openxmlformats.org/officeDocument/2006/relationships/worksheet" Target="/xl/worksheets/sheet3.xml" Id="R4a96fa8ebb764993" /><Relationship Type="http://schemas.openxmlformats.org/officeDocument/2006/relationships/worksheet" Target="/xl/worksheets/sheet4.xml" Id="Rb649bbf692fb4131" /><Relationship Type="http://schemas.openxmlformats.org/officeDocument/2006/relationships/worksheet" Target="/xl/worksheets/sheet5.xml" Id="Rf4b00dce40dc4c1e" /><Relationship Type="http://schemas.openxmlformats.org/officeDocument/2006/relationships/worksheet" Target="/xl/worksheets/sheet6.xml" Id="Rb1c99cb7fe7c4d0b" /><Relationship Type="http://schemas.openxmlformats.org/officeDocument/2006/relationships/worksheet" Target="/xl/worksheets/sheet7.xml" Id="Rddb3edad565c46fb" /><Relationship Type="http://schemas.openxmlformats.org/officeDocument/2006/relationships/worksheet" Target="/xl/worksheets/sheet8.xml" Id="Ra079e8e75fa14365" /><Relationship Type="http://schemas.openxmlformats.org/officeDocument/2006/relationships/worksheet" Target="/xl/worksheets/sheet9.xml" Id="R2f8696b306484d1b" /><Relationship Type="http://schemas.openxmlformats.org/officeDocument/2006/relationships/worksheet" Target="/xl/worksheets/sheet10.xml" Id="Rc7ebae80cdd04fec" /><Relationship Type="http://schemas.openxmlformats.org/officeDocument/2006/relationships/worksheet" Target="/xl/worksheets/sheet11.xml" Id="R7f7401a5610c4720" /><Relationship Type="http://schemas.openxmlformats.org/officeDocument/2006/relationships/worksheet" Target="/xl/worksheets/sheet12.xml" Id="Rd235a4ed00264076" /><Relationship Type="http://schemas.openxmlformats.org/officeDocument/2006/relationships/worksheet" Target="/xl/worksheets/sheet13.xml" Id="R144a720553354c19" /><Relationship Type="http://schemas.openxmlformats.org/officeDocument/2006/relationships/worksheet" Target="/xl/worksheets/sheet14.xml" Id="R3b07e949d17c4438" /><Relationship Type="http://schemas.openxmlformats.org/officeDocument/2006/relationships/worksheet" Target="/xl/worksheets/sheet15.xml" Id="R1f12fbb3977c420e" /><Relationship Type="http://schemas.openxmlformats.org/officeDocument/2006/relationships/worksheet" Target="/xl/worksheets/sheet16.xml" Id="Ra0b2d6bb86634aab" /></Relationships>
</file>

<file path=xl/tables/table1.xml><?xml version="1.0" encoding="utf-8"?>
<x:table xmlns:x="http://schemas.openxmlformats.org/spreadsheetml/2006/main" id="1" name="QualifiedPoolTable" displayName="QualifiedPoolTable" ref="A4:AD34" headerRowCount="1" totalsRowCount="0" totalsRowShown="0">
  <x:tableColumns count="30">
    <x:tableColumn id="1" name="ID"/>
    <x:tableColumn id="2" name="姓名"/>
    <x:tableColumn id="3" name="Gate狀態"/>
    <x:tableColumn id="4" name="Current Company"/>
    <x:tableColumn id="5" name="Title"/>
    <x:tableColumn id="6" name="Location"/>
    <x:tableColumn id="7" name="Hands-on Evidence"/>
    <x:tableColumn id="8" name="Skill 30"/>
    <x:tableColumn id="9" name="Industry 20"/>
    <x:tableColumn id="10" name="Role 20"/>
    <x:tableColumn id="11" name="Experience 10"/>
    <x:tableColumn id="12" name="Location 10"/>
    <x:tableColumn id="13" name="Evidence 10"/>
    <x:tableColumn id="14" name="Score"/>
    <x:tableColumn id="15" name="Tier"/>
    <x:tableColumn id="16" name="Decision"/>
    <x:tableColumn id="17" name="Primary Source"/>
    <x:tableColumn id="18" name="Evidence Source 2"/>
    <x:tableColumn id="19" name="本人Email"/>
    <x:tableColumn id="20" name="本人電話"/>
    <x:tableColumn id="21" name="LinkedIn"/>
    <x:tableColumn id="22" name="第二社群"/>
    <x:tableColumn id="23" name="本人管道數"/>
    <x:tableColumn id="24" name="Contact狀態"/>
    <x:tableColumn id="25" name="Salary/Level Risk"/>
    <x:tableColumn id="26" name="Work Auth/中文"/>
    <x:tableColumn id="27" name="Motorbike"/>
    <x:tableColumn id="28" name="Recruiter下一步"/>
    <x:tableColumn id="29" name="Why relevant"/>
    <x:tableColumn id="30" name="Source mix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actEnrichmentTable" displayName="ContactEnrichmentTable" ref="A4:N34" headerRowCount="1" totalsRowCount="0" totalsRowShown="0">
  <x:tableColumns count="14">
    <x:tableColumn id="1" name="姓名"/>
    <x:tableColumn id="2" name="Fit Score"/>
    <x:tableColumn id="3" name="本人公開Email"/>
    <x:tableColumn id="4" name="本人公開電話"/>
    <x:tableColumn id="5" name="LinkedIn"/>
    <x:tableColumn id="6" name="第二社群"/>
    <x:tableColumn id="7" name="第三社群"/>
    <x:tableColumn id="8" name="本人管道數"/>
    <x:tableColumn id="9" name="Email查找狀態"/>
    <x:tableColumn id="10" name="電話查找狀態"/>
    <x:tableColumn id="11" name="社群驗證"/>
    <x:tableColumn id="12" name="最近搜尋結論"/>
    <x:tableColumn id="13" name="停止/續查規則"/>
    <x:tableColumn id="14" name="來源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RejectedTable" displayName="RejectedTable" ref="A4:F18" headerRowCount="1" totalsRowCount="0" totalsRowShown="0">
  <x:tableColumns count="6">
    <x:tableColumn id="1" name="姓名/線索"/>
    <x:tableColumn id="2" name="角色"/>
    <x:tableColumn id="3" name="淘汰原因"/>
    <x:tableColumn id="4" name="狀態"/>
    <x:tableColumn id="5" name="是否有聯絡資訊"/>
    <x:tableColumn id="6" name="規則"/>
  </x:tableColumns>
  <x:tableStyleInfo name="TableStyleMedium3" showFirstColumn="0" showLastColumn="0" showRowStripes="1" showColumnStripes="0"/>
</x:table>
</file>

<file path=xl/tables/table4.xml><?xml version="1.0" encoding="utf-8"?>
<x:table xmlns:x="http://schemas.openxmlformats.org/spreadsheetml/2006/main" id="4" name="RunLogTable" displayName="RunLogTable" ref="A3:H18" headerRowCount="1" totalsRowCount="0" totalsRowShown="0">
  <x:tableColumns count="8">
    <x:tableColumn id="1" name="日期"/>
    <x:tableColumn id="2" name="版本"/>
    <x:tableColumn id="3" name="階段"/>
    <x:tableColumn id="4" name="輸入/查詢"/>
    <x:tableColumn id="5" name="輸出"/>
    <x:tableColumn id="6" name="問題"/>
    <x:tableColumn id="7" name="決策"/>
    <x:tableColumn id="8" name="狀態"/>
  </x:tableColumns>
  <x:tableStyleInfo name="TableStyleMedium9" showFirstColumn="0" showLastColumn="0" showRowStripes="1" showColumnStripes="0"/>
</x:table>
</file>

<file path=xl/tables/table5.xml><?xml version="1.0" encoding="utf-8"?>
<x:table xmlns:x="http://schemas.openxmlformats.org/spreadsheetml/2006/main" id="5" name="TalentDNATable" displayName="TalentDNATable" ref="A3:D13" headerRowCount="1" totalsRowCount="0" totalsRowShown="0">
  <x:tableColumns count="4">
    <x:tableColumn id="1" name="層級"/>
    <x:tableColumn id="2" name="條件"/>
    <x:tableColumn id="3" name="Gate規則"/>
    <x:tableColumn id="4" name="證據要求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MixTable" displayName="SourceMixTable" ref="A3:H18" headerRowCount="1" totalsRowCount="0" totalsRowShown="0">
  <x:tableColumns count="8">
    <x:tableColumn id="1" name="來源類型"/>
    <x:tableColumn id="2" name="來源"/>
    <x:tableColumn id="3" name="用途"/>
    <x:tableColumn id="4" name="發現/驗證人數"/>
    <x:tableColumn id="5" name="非招募來源?"/>
    <x:tableColumn id="6" name="本輪價值"/>
    <x:tableColumn id="7" name="限制"/>
    <x:tableColumn id="8" name="下一步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PromptRulesTable" displayName="PromptRulesTable" ref="A3:D18" headerRowCount="1" totalsRowCount="0" totalsRowShown="0">
  <x:tableColumns count="4">
    <x:tableColumn id="1" name="Rule ID"/>
    <x:tableColumn id="2" name="規則"/>
    <x:tableColumn id="3" name="自動化判斷"/>
    <x:tableColumn id="4" name="失敗防線"/>
  </x:tableColumns>
  <x:tableStyleInfo name="TableStyleMedium9" showFirstColumn="0" showLastColumn="0" showRowStripes="1" showColumnStripes="0"/>
</x:table>
</file>

<file path=xl/tables/table8.xml><?xml version="1.0" encoding="utf-8"?>
<x:table xmlns:x="http://schemas.openxmlformats.org/spreadsheetml/2006/main" id="8" name="NextExpansionTable" displayName="NextExpansionTable" ref="A3:F10" headerRowCount="1" totalsRowCount="0" totalsRowShown="0">
  <x:tableColumns count="6">
    <x:tableColumn id="1" name="優先"/>
    <x:tableColumn id="2" name="來源入口"/>
    <x:tableColumn id="3" name="目標量"/>
    <x:tableColumn id="4" name="抽取方法"/>
    <x:tableColumn id="5" name="Gate後預估"/>
    <x:tableColumn id="6" name="目的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LockedRulesTable" displayName="LockedRulesTable" ref="A6:E15" headerRowCount="1" totalsRowCount="0" totalsRowShown="0">
  <x:tableColumns count="5">
    <x:tableColumn id="1" name="Rule"/>
    <x:tableColumn id="2" name="鎖定內容"/>
    <x:tableColumn id="3" name="自動判斷"/>
    <x:tableColumn id="4" name="失敗代碼"/>
    <x:tableColumn id="5" name="人工檢核"/>
  </x:tableColumns>
  <x:tableStyleInfo name="TableStyleMedium9" showFirstColumn="0" showLastColumn="0" showRowStripes="1" showColumnStripes="0"/>
</x:table>
</file>

<file path=xl/tables/table10.xml><?xml version="1.0" encoding="utf-8"?>
<x:table xmlns:x="http://schemas.openxmlformats.org/spreadsheetml/2006/main" id="10" name="ContactSprintV16Table" displayName="ContactSprintV16Table" ref="A3:M20" headerRowCount="1" totalsRowCount="0" totalsRowShown="0">
  <x:tableColumns count="13">
    <x:tableColumn id="1" name="姓名"/>
    <x:tableColumn id="2" name="公司"/>
    <x:tableColumn id="3" name="查詢路徑"/>
    <x:tableColumn id="4" name="本人Email"/>
    <x:tableColumn id="5" name="本人電話"/>
    <x:tableColumn id="6" name="LinkedIn"/>
    <x:tableColumn id="7" name="第二社群"/>
    <x:tableColumn id="8" name="公司Referral"/>
    <x:tableColumn id="9" name="同名排除"/>
    <x:tableColumn id="10" name="狀態"/>
    <x:tableColumn id="11" name="停止/續查"/>
    <x:tableColumn id="12" name="來源1"/>
    <x:tableColumn id="13" name="來源2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11" name="GraphExpansionV16Table" displayName="GraphExpansionV16Table" ref="A3:J10" headerRowCount="1" totalsRowCount="0" totalsRowShown="0">
  <x:tableColumns count="10">
    <x:tableColumn id="1" name="姓名"/>
    <x:tableColumn id="2" name="來源關係"/>
    <x:tableColumn id="3" name="公司/組織"/>
    <x:tableColumn id="4" name="公開訊號"/>
    <x:tableColumn id="5" name="年份"/>
    <x:tableColumn id="6" name="分類"/>
    <x:tableColumn id="7" name="可否直接聯絡"/>
    <x:tableColumn id="8" name="Source URL"/>
    <x:tableColumn id="9" name="下一步"/>
    <x:tableColumn id="10" name="備註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HorizontalWebV17Table" displayName="HorizontalWebV17Table" ref="A3:N20" headerRowCount="1" totalsRowCount="0" totalsRowShown="0">
  <x:tableColumns count="14">
    <x:tableColumn id="1" name="姓名"/>
    <x:tableColumn id="2" name="公司錨點"/>
    <x:tableColumn id="3" name="Cake狀態"/>
    <x:tableColumn id="4" name="Cake URL"/>
    <x:tableColumn id="5" name="GitHub狀態"/>
    <x:tableColumn id="6" name="GitHub URL"/>
    <x:tableColumn id="7" name="個站狀態"/>
    <x:tableColumn id="8" name="個站URL"/>
    <x:tableColumn id="9" name="新增Email"/>
    <x:tableColumn id="10" name="新增電話"/>
    <x:tableColumn id="11" name="身分判斷"/>
    <x:tableColumn id="12" name="False Positive / 噪音"/>
    <x:tableColumn id="13" name="下一次重啟條件"/>
    <x:tableColumn id="14" name="LinkedIn證據"/>
  </x:tableColumns>
  <x:tableStyleInfo name="TableStyleMedium5" showFirstColumn="0" showLastColumn="0" showRowStripes="1" showColumnStripes="0"/>
</x:table>
</file>

<file path=xl/tables/table13.xml><?xml version="1.0" encoding="utf-8"?>
<x:table xmlns:x="http://schemas.openxmlformats.org/spreadsheetml/2006/main" id="13" name="RouterMatrixV1Table" displayName="RouterMatrixV1Table" ref="A3:J13" headerRowCount="1" totalsRowCount="0" totalsRowShown="0">
  <x:tableColumns count="10">
    <x:tableColumn id="1" name="Route Code"/>
    <x:tableColumn id="2" name="人才生態"/>
    <x:tableColumn id="3" name="主要職缺"/>
    <x:tableColumn id="4" name="高價值公開證據"/>
    <x:tableColumn id="5" name="來源優先1"/>
    <x:tableColumn id="6" name="來源優先2"/>
    <x:tableColumn id="7" name="聯絡優先"/>
    <x:tableColumn id="8" name="典型錨點"/>
    <x:tableColumn id="9" name="通常低效來源"/>
    <x:tableColumn id="10" name="主要風險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FiveJDRouteTestsTable" displayName="FiveJDRouteTestsTable" ref="A3:O8" headerRowCount="1" totalsRowCount="0" totalsRowShown="0">
  <x:tableColumns count="15">
    <x:tableColumn id="1" name="職缺"/>
    <x:tableColumn id="2" name="Primary"/>
    <x:tableColumn id="3" name="Secondary"/>
    <x:tableColumn id="4" name="職級"/>
    <x:tableColumn id="5" name="工作型態"/>
    <x:tableColumn id="6" name="Evidence Mode"/>
    <x:tableColumn id="7" name="關鍵Overlays"/>
    <x:tableColumn id="8" name="Hard Gate"/>
    <x:tableColumn id="9" name="高優先來源"/>
    <x:tableColumn id="10" name="身份錨點"/>
    <x:tableColumn id="11" name="Contact Waterfall"/>
    <x:tableColumn id="12" name="低效/禁止"/>
    <x:tableColumn id="13" name="Stop/Reroute"/>
    <x:tableColumn id="14" name="測試結果"/>
    <x:tableColumn id="15" name="JD URL"/>
  </x:tableColumns>
  <x:tableStyleInfo name="TableStyleMedium4" showFirstColumn="0" showLastColumn="0" showRowStripes="1" showColumnStripes="0"/>
</x:table>
</file>

<file path=xl/tables/table15.xml><?xml version="1.0" encoding="utf-8"?>
<x:table xmlns:x="http://schemas.openxmlformats.org/spreadsheetml/2006/main" id="15" name="RouterDecisionRulesTable" displayName="RouterDecisionRulesTable" ref="A3:F13" headerRowCount="1" totalsRowCount="0" totalsRowShown="0">
  <x:tableColumns count="6">
    <x:tableColumn id="1" name="Rule ID"/>
    <x:tableColumn id="2" name="自動判斷"/>
    <x:tableColumn id="3" name="輸出"/>
    <x:tableColumn id="4" name="禁止行為"/>
    <x:tableColumn id="5" name="失敗代碼"/>
    <x:tableColumn id="6" name="人工確認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bc8ad0944747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88ecad11904c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6147b1834943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96ba8d129942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359a6900eb4c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a25a349a5464a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b6ce8c2890b4b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337764b0051472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e8a7f4ff77f4f3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84a05959678419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d151d17bf6445d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526405547fb645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1dfd79d2e3624df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78d9ef016251488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c91bd2e508cd4d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24" hidden="0" customWidth="1"/>
    <x:col min="4" max="4" width="28" hidden="0" customWidth="1"/>
    <x:col min="5" max="5" width="24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15" hidden="0" customHeight="1">
      <x:c r="A1" s="38" t="str">
        <x:v>Talent Intelligence Sourcing Template V18｜Job Router → Qualified → Contact</x:v>
      </x:c>
      <x:c r="B1" s="38" t="str">
        <x:v>Talent Intelligence Sourcing Template V18｜Job Router → Qualified → Contact</x:v>
      </x:c>
      <x:c r="C1" s="38" t="str">
        <x:v>Talent Intelligence Sourcing Template V18｜Job Router → Qualified → Contact</x:v>
      </x:c>
      <x:c r="D1" s="38" t="str">
        <x:v>Talent Intelligence Sourcing Template V18｜Job Router → Qualified → Contact</x:v>
      </x:c>
      <x:c r="E1" s="38" t="str">
        <x:v>Talent Intelligence Sourcing Template V18｜Job Router → Qualified → Contact</x:v>
      </x:c>
      <x:c r="F1" s="38" t="str">
        <x:v>Talent Intelligence Sourcing Template V18｜Job Router → Qualified → Contact</x:v>
      </x:c>
      <x:c r="G1" s="38" t="str">
        <x:v>Talent Intelligence Sourcing Template V18｜Job Router → Qualified → Contact</x:v>
      </x:c>
      <x:c r="H1" s="38" t="str">
        <x:v>Talent Intelligence Sourcing Template V18｜Job Router → Qualified → Contact</x:v>
      </x:c>
    </x:row>
    <x:row r="2" ht="15" hidden="0" customHeight="1">
      <x:c r="A2" s="33"/>
      <x:c r="B2" s="33"/>
      <x:c r="C2" s="33"/>
      <x:c r="D2" s="33"/>
      <x:c r="E2" s="33"/>
      <x:c r="F2" s="33"/>
      <x:c r="G2" s="33"/>
      <x:c r="H2" s="33"/>
    </x:row>
    <x:row r="3" ht="15" hidden="0" customHeight="1">
      <x:c r="A3" s="34" t="str">
        <x:v>使用方式：貼入JD → 完成Talent DNA與Job Route → 建立Source Map → 蒐集Raw Leads → 身分解析 → Qualified Gate → 聯絡豐富化 → 圖譜擴張。禁止直接從Email反推適配度。</x:v>
      </x:c>
      <x:c r="B3" s="33"/>
      <x:c r="C3" s="33"/>
      <x:c r="D3" s="33"/>
      <x:c r="E3" s="33"/>
      <x:c r="F3" s="33"/>
      <x:c r="G3" s="33"/>
      <x:c r="H3" s="33"/>
    </x:row>
    <x:row r="4" ht="15" hidden="0" customHeight="1">
      <x:c r="A4" s="33" t="str">
        <x:v>官方職缺</x:v>
      </x:c>
      <x:c r="B4" s="33" t="str">
        <x:v>TO_FILL</x:v>
      </x:c>
      <x:c r="C4" s="33"/>
      <x:c r="D4" s="33"/>
      <x:c r="E4" s="33"/>
      <x:c r="F4" s="33"/>
      <x:c r="G4" s="33"/>
      <x:c r="H4" s="33"/>
    </x:row>
    <x:row r="5" ht="15" hidden="0" customHeight="1">
      <x:c r="A5" s="33" t="str">
        <x:v>工作簿狀態</x:v>
      </x:c>
      <x:c r="B5" s="33" t="str">
        <x:v>EMPTY_REUSABLE_TEMPLATE</x:v>
      </x:c>
      <x:c r="C5" s="33" t="str">
        <x:v>PRIMARY_ECOSYSTEM</x:v>
      </x:c>
      <x:c r="D5" s="33" t="str">
        <x:v>TO_ASSIGN</x:v>
      </x:c>
      <x:c r="E5" s="33" t="str">
        <x:v>JD URL</x:v>
      </x:c>
      <x:c r="F5" s="33" t="str">
        <x:v>TO_FILL</x:v>
      </x:c>
      <x:c r="G5" s="33" t="str">
        <x:v>目前階段</x:v>
      </x:c>
      <x:c r="H5" s="33" t="str">
        <x:v>ROUTE_REQUIRED</x:v>
      </x:c>
    </x:row>
    <x:row r="6" ht="15" hidden="0" customHeight="1">
      <x:c r="A6" s="35" t="str">
        <x:v>核心原則：先判斷職缺適配與可招募性，再做聯絡資料深搜；聯絡資訊豐富不能拯救不符合的人選。</x:v>
      </x:c>
      <x:c r="B6" s="35"/>
      <x:c r="C6" s="35"/>
      <x:c r="D6" s="35"/>
      <x:c r="E6" s="35"/>
      <x:c r="F6" s="35"/>
      <x:c r="G6" s="35"/>
      <x:c r="H6" s="35"/>
    </x:row>
    <x:row r="7" ht="15" hidden="0" customHeight="1">
      <x:c r="A7" s="33"/>
      <x:c r="B7" s="33"/>
      <x:c r="C7" s="33"/>
      <x:c r="D7" s="33"/>
      <x:c r="E7" s="33"/>
      <x:c r="F7" s="33"/>
      <x:c r="G7" s="33"/>
      <x:c r="H7" s="33"/>
    </x:row>
    <x:row r="8" ht="34" hidden="0" customHeight="1">
      <x:c r="A8" s="39" t="str">
        <x:v>Raw Reviewed</x:v>
      </x:c>
      <x:c r="B8" s="39" t="str">
        <x:v>Unique Pool</x:v>
      </x:c>
      <x:c r="C8" s="39" t="str">
        <x:v>Qualified</x:v>
      </x:c>
      <x:c r="D8" s="39" t="str">
        <x:v>Contact after confirmation</x:v>
      </x:c>
      <x:c r="E8" s="39" t="str">
        <x:v>Rejected</x:v>
      </x:c>
      <x:c r="F8" s="39" t="str">
        <x:v>本人公開Email</x:v>
      </x:c>
      <x:c r="G8" s="39" t="str">
        <x:v>本人公開電話</x:v>
      </x:c>
      <x:c r="H8" s="39" t="str">
        <x:v>≥2本人管道</x:v>
      </x:c>
    </x:row>
    <x:row r="9" ht="15" hidden="0" customHeight="1">
      <x:c r="A9" s="36" t="n">
        <x:f>COUNTA('01_Qualified Pool'!B5:B34)+COUNTA('03_Rejected_Mismatch'!A5:A18)</x:f>
        <x:v>0</x:v>
      </x:c>
      <x:c r="B9" s="36" t="n">
        <x:f>COUNTA('01_Qualified Pool'!B5:B34)</x:f>
        <x:v>0</x:v>
      </x:c>
      <x:c r="C9" s="36" t="n">
        <x:f>COUNTIF('01_Qualified Pool'!C5:C34,"QUALIFIED_PUBLIC_EVIDENCE")</x:f>
        <x:v>0</x:v>
      </x:c>
      <x:c r="D9" s="36" t="n">
        <x:f>COUNTIF('01_Qualified Pool'!C5:C34,"CONTACT_AFTER_CONFIRMATION")</x:f>
        <x:v>0</x:v>
      </x:c>
      <x:c r="E9" s="36" t="n">
        <x:f>COUNTA('03_Rejected_Mismatch'!A5:A18)</x:f>
        <x:v>0</x:v>
      </x:c>
      <x:c r="F9" s="36" t="n">
        <x:f>COUNTIFS('02_Contact Enrichment'!C5:C34,"&lt;&gt;",'02_Contact Enrichment'!C5:C34,"&lt;&gt;NOT_FOUND")</x:f>
        <x:v>0</x:v>
      </x:c>
      <x:c r="G9" s="36" t="n">
        <x:f>COUNTIFS('02_Contact Enrichment'!D5:D34,"&lt;&gt;",'02_Contact Enrichment'!D5:D34,"&lt;&gt;NOT_FOUND")</x:f>
        <x:v>0</x:v>
      </x:c>
      <x:c r="H9" s="36" t="n">
        <x:f>COUNTIF('02_Contact Enrichment'!H5:H34,"&gt;=2")</x:f>
        <x:v>0</x:v>
      </x:c>
    </x:row>
    <x:row r="10" ht="15" hidden="0" customHeight="1">
      <x:c r="A10" s="33"/>
      <x:c r="B10" s="33"/>
      <x:c r="C10" s="33"/>
      <x:c r="D10" s="33"/>
      <x:c r="E10" s="33"/>
      <x:c r="F10" s="33"/>
      <x:c r="G10" s="33"/>
      <x:c r="H10" s="33"/>
    </x:row>
    <x:row r="11" ht="34" hidden="0" customHeight="1">
      <x:c r="A11" s="39" t="str">
        <x:v>Gate</x:v>
      </x:c>
      <x:c r="B11" s="39" t="str">
        <x:v>判定</x:v>
      </x:c>
      <x:c r="C11" s="39" t="str">
        <x:v>本輪結果</x:v>
      </x:c>
      <x:c r="D11" s="39" t="str">
        <x:v>下一步</x:v>
      </x:c>
      <x:c r="E11" s="33"/>
      <x:c r="F11" s="33"/>
      <x:c r="G11" s="33"/>
      <x:c r="H11" s="33"/>
    </x:row>
    <x:row r="12" ht="15" hidden="0" customHeight="1">
      <x:c r="A12" s="33" t="str">
        <x:v>Gate</x:v>
      </x:c>
      <x:c r="B12" s="33" t="str">
        <x:v>開始條件</x:v>
      </x:c>
      <x:c r="C12" s="33" t="str">
        <x:v>當前值</x:v>
      </x:c>
      <x:c r="D12" s="33" t="str">
        <x:v>狀態</x:v>
      </x:c>
      <x:c r="E12" s="33" t="str">
        <x:v>不足時動作</x:v>
      </x:c>
      <x:c r="F12" s="33"/>
      <x:c r="G12" s="33"/>
      <x:c r="H12" s="33"/>
    </x:row>
    <x:row r="13" ht="15" hidden="0" customHeight="1">
      <x:c r="A13" s="33" t="str">
        <x:v>Job Route</x:v>
      </x:c>
      <x:c r="B13" s="33" t="str">
        <x:v>已指定Primary Ecosystem</x:v>
      </x:c>
      <x:c r="C13" s="33" t="str">
        <x:v>TO_ASSIGN</x:v>
      </x:c>
      <x:c r="D13" s="33" t="str">
        <x:v>BLOCKED</x:v>
      </x:c>
      <x:c r="E13" s="33" t="str">
        <x:v>先完成13_Router Matrix與Talent DNA</x:v>
      </x:c>
      <x:c r="F13" s="33"/>
      <x:c r="G13" s="33"/>
      <x:c r="H13" s="33"/>
    </x:row>
    <x:row r="14" ht="15" hidden="0" customHeight="1">
      <x:c r="A14" s="33" t="str">
        <x:v>Source Mix</x:v>
      </x:c>
      <x:c r="B14" s="33" t="str">
        <x:v>≥70%新線索來自非招募來源</x:v>
      </x:c>
      <x:c r="C14" s="33" t="str">
        <x:v>0%</x:v>
      </x:c>
      <x:c r="D14" s="33" t="str">
        <x:v>NOT_STARTED</x:v>
      </x:c>
      <x:c r="E14" s="33" t="str">
        <x:v>擴張公司/專案/活動/名冊</x:v>
      </x:c>
      <x:c r="F14" s="33"/>
      <x:c r="G14" s="33"/>
      <x:c r="H14" s="33"/>
    </x:row>
    <x:row r="15" ht="15" hidden="0" customHeight="1">
      <x:c r="A15" s="33" t="str">
        <x:v>Qualified Pool</x:v>
      </x:c>
      <x:c r="B15" s="33" t="str">
        <x:v>職缺Fit先於Contact</x:v>
      </x:c>
      <x:c r="C15" s="33" t="str">
        <x:v>0</x:v>
      </x:c>
      <x:c r="D15" s="33" t="str">
        <x:v>NOT_STARTED</x:v>
      </x:c>
      <x:c r="E15" s="33" t="str">
        <x:v>先做身分與Qualified Gate</x:v>
      </x:c>
      <x:c r="F15" s="33"/>
      <x:c r="G15" s="33"/>
      <x:c r="H15" s="33"/>
    </x:row>
    <x:row r="16" ht="24" hidden="0" customHeight="1">
      <x:c r="A16" s="33" t="str">
        <x:v>Contact</x:v>
      </x:c>
      <x:c r="B16" s="33" t="str">
        <x:v>Email＞電話＞社群；理想2本人管道</x:v>
      </x:c>
      <x:c r="C16" s="33" t="str">
        <x:v>0</x:v>
      </x:c>
      <x:c r="D16" s="33" t="str">
        <x:v>NOT_STARTED</x:v>
      </x:c>
      <x:c r="E16" s="33" t="str">
        <x:v>只對Direct/待確認人選深搜</x:v>
      </x:c>
      <x:c r="F16" s="33"/>
      <x:c r="G16" s="33"/>
      <x:c r="H16" s="33"/>
    </x:row>
    <x:row r="17" ht="15" hidden="0" customHeight="1">
      <x:c r="A17" s="33" t="str">
        <x:v>Client-ready</x:v>
      </x:c>
      <x:c r="B17" s="33" t="str">
        <x:v>Fit、條件與至少1個外聯入口均確認</x:v>
      </x:c>
      <x:c r="C17" s="33" t="str">
        <x:v>0</x:v>
      </x:c>
      <x:c r="D17" s="33" t="str">
        <x:v>NOT_STARTED</x:v>
      </x:c>
      <x:c r="E17" s="33" t="str">
        <x:v>不得把公開證據等同可推客戶</x:v>
      </x:c>
      <x:c r="F17" s="33"/>
      <x:c r="G17" s="33"/>
      <x:c r="H17" s="33"/>
    </x:row>
    <x:row r="18" ht="15" hidden="0" customHeight="1">
      <x:c r="A18" s="33" t="str">
        <x:v>Audit</x:v>
      </x:c>
      <x:c r="B18" s="33" t="str">
        <x:v>成功、查無、誤認、停止原因均記錄</x:v>
      </x:c>
      <x:c r="C18" s="33" t="str">
        <x:v>0</x:v>
      </x:c>
      <x:c r="D18" s="33" t="str">
        <x:v>NOT_STARTED</x:v>
      </x:c>
      <x:c r="E18" s="33" t="str">
        <x:v>更新Run Log與Source Score</x:v>
      </x:c>
      <x:c r="F18" s="33"/>
      <x:c r="G18" s="33"/>
      <x:c r="H18" s="33"/>
    </x:row>
    <x:row r="19" ht="15" hidden="0" customHeight="1">
      <x:c r="A19" s="37" t="str">
        <x:v>模板不含任何BIM候選人或個人聯絡資料；每個新JD都必須重新路由，不得沿用上一職缺的人選與來源排序。</x:v>
      </x:c>
      <x:c r="B19" s="37"/>
      <x:c r="C19" s="37"/>
      <x:c r="D19" s="37"/>
      <x:c r="E19" s="37"/>
      <x:c r="F19" s="37"/>
      <x:c r="G19" s="37"/>
      <x:c r="H19" s="37"/>
    </x:row>
    <x:row r="20" ht="15" hidden="0" customHeight="1">
      <x:c r="A20" s="33"/>
      <x:c r="B20" s="33"/>
      <x:c r="C20" s="33"/>
      <x:c r="D20" s="33"/>
      <x:c r="E20" s="33"/>
      <x:c r="F20" s="33"/>
      <x:c r="G20" s="33"/>
      <x:c r="H20" s="33"/>
    </x:row>
    <x:row r="21" ht="15" hidden="0" customHeight="1">
      <x:c r="A21" s="34" t="str">
        <x:v>五個Benchmark保留於14_Five JD Route Tests，只用於驗證路由差異，不是候選人資料。</x:v>
      </x:c>
      <x:c r="B21" s="34"/>
      <x:c r="C21" s="34"/>
      <x:c r="D21" s="34"/>
      <x:c r="E21" s="34"/>
      <x:c r="F21" s="34"/>
      <x:c r="G21" s="34"/>
      <x:c r="H21" s="34"/>
    </x:row>
    <x:row r="22" ht="15" hidden="0" customHeight="1">
      <x:c r="A22" s="33"/>
      <x:c r="B22" s="33"/>
      <x:c r="C22" s="33"/>
      <x:c r="D22" s="33"/>
      <x:c r="E22" s="33"/>
      <x:c r="F22" s="33"/>
      <x:c r="G22" s="33"/>
      <x:c r="H22" s="33"/>
    </x:row>
    <x:row r="23" ht="34" hidden="0" customHeight="1">
      <x:c r="A23" s="39" t="str">
        <x:v>操作順序</x:v>
      </x:c>
      <x:c r="B23" s="39" t="str">
        <x:v>1 Talent DNA</x:v>
      </x:c>
      <x:c r="C23" s="39" t="str">
        <x:v>2 Job Route</x:v>
      </x:c>
      <x:c r="D23" s="39" t="str">
        <x:v>3 Source Map</x:v>
      </x:c>
      <x:c r="E23" s="39" t="str">
        <x:v>4 Raw Leads</x:v>
      </x:c>
      <x:c r="F23" s="39" t="str">
        <x:v>5 Qualified Gate</x:v>
      </x:c>
      <x:c r="G23" s="39" t="str">
        <x:v>6 Contact</x:v>
      </x:c>
      <x:c r="H23" s="39" t="str">
        <x:v>7 Expansion</x:v>
      </x:c>
    </x:row>
    <x:row r="24" ht="15" hidden="0" customHeight="1">
      <x:c r="A24" s="36" t="str">
        <x:v>狀態</x:v>
      </x:c>
      <x:c r="B24" s="36" t="str">
        <x:v>TO_FILL</x:v>
      </x:c>
      <x:c r="C24" s="36" t="str">
        <x:v>TO_ASSIGN</x:v>
      </x:c>
      <x:c r="D24" s="36" t="str">
        <x:v>NOT_STARTED</x:v>
      </x:c>
      <x:c r="E24" s="36" t="str">
        <x:v>0</x:v>
      </x:c>
      <x:c r="F24" s="36" t="str">
        <x:v>0</x:v>
      </x:c>
      <x:c r="G24" s="36" t="str">
        <x:v>0</x:v>
      </x:c>
      <x:c r="H24" s="36" t="str">
        <x:v>NOT_STARTED</x:v>
      </x:c>
    </x:row>
  </x:sheetData>
  <x:mergeCells>
    <x:mergeCell ref="A1:H1"/>
    <x:mergeCell ref="A6:H6"/>
    <x:mergeCell ref="A19:H19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30" hidden="0" customWidth="1"/>
    <x:col min="4" max="4" width="28" hidden="0" customWidth="1"/>
    <x:col min="5" max="5" width="26" hidden="0" customWidth="1"/>
    <x:col min="6" max="6" width="15" hidden="0" customWidth="1"/>
    <x:col min="7" max="7" width="52" hidden="0" customWidth="1"/>
    <x:col min="8" max="8" width="10" hidden="0" customWidth="1"/>
    <x:col min="9" max="9" width="11" hidden="0" customWidth="1"/>
    <x:col min="10" max="10" width="10" hidden="0" customWidth="1"/>
    <x:col min="11" max="11" width="12" hidden="0" customWidth="1"/>
    <x:col min="12" max="12" width="12" hidden="0" customWidth="1"/>
    <x:col min="13" max="13" width="12" hidden="0" customWidth="1"/>
    <x:col min="14" max="14" width="10" hidden="0" customWidth="1"/>
    <x:col min="15" max="15" width="8" hidden="0" customWidth="1"/>
    <x:col min="16" max="16" width="30" hidden="0" customWidth="1"/>
    <x:col min="17" max="17" width="48" hidden="0" customWidth="1"/>
    <x:col min="18" max="18" width="32" hidden="0" customWidth="1"/>
    <x:col min="19" max="19" width="20" hidden="0" customWidth="1"/>
    <x:col min="20" max="20" width="20" hidden="0" customWidth="1"/>
    <x:col min="21" max="21" width="48" hidden="0" customWidth="1"/>
    <x:col min="22" max="22" width="48" hidden="0" customWidth="1"/>
    <x:col min="23" max="23" width="12" hidden="0" customWidth="1"/>
    <x:col min="24" max="24" width="20" hidden="0" customWidth="1"/>
    <x:col min="25" max="25" width="28" hidden="0" customWidth="1"/>
    <x:col min="26" max="26" width="30" hidden="0" customWidth="1"/>
    <x:col min="27" max="27" width="16" hidden="0" customWidth="1"/>
    <x:col min="28" max="28" width="48" hidden="0" customWidth="1"/>
    <x:col min="29" max="29" width="52" hidden="0" customWidth="1"/>
    <x:col min="30" max="30" width="32" hidden="0" customWidth="1"/>
  </x:cols>
  <x:sheetData>
    <x:row r="1" ht="15" hidden="0" customHeight="1">
      <x:c r="A1" s="38" t="str">
        <x:v>Qualified Pool｜Reusable 30-row Candidate Gate</x:v>
      </x:c>
      <x:c r="B1" s="38" t="str">
        <x:v>Qualified Pool｜Reusable 30-row Candidate Gate</x:v>
      </x:c>
      <x:c r="C1" s="38" t="str">
        <x:v>Qualified Pool｜Reusable 30-row Candidate Gate</x:v>
      </x:c>
      <x:c r="D1" s="38" t="str">
        <x:v>Qualified Pool｜Reusable 30-row Candidate Gate</x:v>
      </x:c>
      <x:c r="E1" s="38" t="str">
        <x:v>Qualified Pool｜Reusable 30-row Candidate Gate</x:v>
      </x:c>
      <x:c r="F1" s="38" t="str">
        <x:v>Qualified Pool｜Reusable 30-row Candidate Gate</x:v>
      </x:c>
      <x:c r="G1" s="38" t="str">
        <x:v>Qualified Pool｜Reusable 30-row Candidate Gate</x:v>
      </x:c>
      <x:c r="H1" s="38" t="str">
        <x:v>Qualified Pool｜Reusable 30-row Candidate Gate</x:v>
      </x:c>
      <x:c r="I1" s="38" t="str">
        <x:v>Qualified Pool｜Reusable 30-row Candidate Gate</x:v>
      </x:c>
      <x:c r="J1" s="38" t="str">
        <x:v>Qualified Pool｜Reusable 30-row Candidate Gate</x:v>
      </x:c>
      <x:c r="K1" s="38" t="str">
        <x:v>Qualified Pool｜Reusable 30-row Candidate Gate</x:v>
      </x:c>
      <x:c r="L1" s="38" t="str">
        <x:v>Qualified Pool｜Reusable 30-row Candidate Gate</x:v>
      </x:c>
      <x:c r="M1" s="38" t="str">
        <x:v>Qualified Pool｜Reusable 30-row Candidate Gate</x:v>
      </x:c>
      <x:c r="N1" s="38" t="str">
        <x:v>Qualified Pool｜Reusable 30-row Candidate Gate</x:v>
      </x:c>
      <x:c r="O1" s="38" t="str">
        <x:v>Qualified Pool｜Reusable 30-row Candidate Gate</x:v>
      </x:c>
      <x:c r="P1" s="38" t="str">
        <x:v>Qualified Pool｜Reusable 30-row Candidate Gate</x:v>
      </x:c>
      <x:c r="Q1" s="38" t="str">
        <x:v>Qualified Pool｜Reusable 30-row Candidate Gate</x:v>
      </x:c>
      <x:c r="R1" s="38" t="str">
        <x:v>Qualified Pool｜Reusable 30-row Candidate Gate</x:v>
      </x:c>
      <x:c r="S1" s="38" t="str">
        <x:v>Qualified Pool｜Reusable 30-row Candidate Gate</x:v>
      </x:c>
      <x:c r="T1" s="38" t="str">
        <x:v>Qualified Pool｜Reusable 30-row Candidate Gate</x:v>
      </x:c>
      <x:c r="U1" s="38" t="str">
        <x:v>Qualified Pool｜Reusable 30-row Candidate Gate</x:v>
      </x:c>
      <x:c r="V1" s="38" t="str">
        <x:v>Qualified Pool｜Reusable 30-row Candidate Gate</x:v>
      </x:c>
      <x:c r="W1" s="38" t="str">
        <x:v>Qualified Pool｜Reusable 30-row Candidate Gate</x:v>
      </x:c>
      <x:c r="X1" s="38" t="str">
        <x:v>Qualified Pool｜Reusable 30-row Candidate Gate</x:v>
      </x:c>
      <x:c r="Y1" s="38" t="str">
        <x:v>Qualified Pool｜Reusable 30-row Candidate Gate</x:v>
      </x:c>
      <x:c r="Z1" s="38" t="str">
        <x:v>Qualified Pool｜Reusable 30-row Candidate Gate</x:v>
      </x:c>
      <x:c r="AA1" s="38" t="str">
        <x:v>Qualified Pool｜Reusable 30-row Candidate Gate</x:v>
      </x:c>
      <x:c r="AB1" s="38" t="str">
        <x:v>Qualified Pool｜Reusable 30-row Candidate Gate</x:v>
      </x:c>
      <x:c r="AC1" s="38" t="str">
        <x:v>Qualified Pool｜Reusable 30-row Candidate Gate</x:v>
      </x:c>
      <x:c r="AD1" s="38" t="str">
        <x:v>Qualified Pool｜Reusable 30-row Candidate Gate</x:v>
      </x:c>
    </x:row>
    <x:row r="2" ht="15" hidden="0" customHeight="1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  <x:c r="AA2" s="33"/>
      <x:c r="AB2" s="33"/>
      <x:c r="AC2" s="33"/>
      <x:c r="AD2" s="33"/>
    </x:row>
    <x:row r="3" ht="15" hidden="0" customHeight="1">
      <x:c r="A3" s="37" t="str">
        <x:v>只放通過Identity Resolution的人。Fit、Recruitability與Contactability必須分開；所有人均需Source URL。</x:v>
      </x:c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  <x:c r="AA3" s="37"/>
      <x:c r="AB3" s="37"/>
      <x:c r="AC3" s="37"/>
      <x:c r="AD3" s="37"/>
    </x:row>
    <x:row r="4" ht="34" hidden="0" customHeight="1">
      <x:c r="A4" s="39" t="str">
        <x:v>ID</x:v>
      </x:c>
      <x:c r="B4" s="39" t="str">
        <x:v>姓名</x:v>
      </x:c>
      <x:c r="C4" s="39" t="str">
        <x:v>Gate狀態</x:v>
      </x:c>
      <x:c r="D4" s="39" t="str">
        <x:v>Current Company</x:v>
      </x:c>
      <x:c r="E4" s="39" t="str">
        <x:v>Title</x:v>
      </x:c>
      <x:c r="F4" s="39" t="str">
        <x:v>Location</x:v>
      </x:c>
      <x:c r="G4" s="39" t="str">
        <x:v>Hands-on Evidence</x:v>
      </x:c>
      <x:c r="H4" s="39" t="str">
        <x:v>Skill 30</x:v>
      </x:c>
      <x:c r="I4" s="39" t="str">
        <x:v>Industry 20</x:v>
      </x:c>
      <x:c r="J4" s="39" t="str">
        <x:v>Role 20</x:v>
      </x:c>
      <x:c r="K4" s="39" t="str">
        <x:v>Experience 10</x:v>
      </x:c>
      <x:c r="L4" s="39" t="str">
        <x:v>Location 10</x:v>
      </x:c>
      <x:c r="M4" s="39" t="str">
        <x:v>Evidence 10</x:v>
      </x:c>
      <x:c r="N4" s="39" t="str">
        <x:v>Score</x:v>
      </x:c>
      <x:c r="O4" s="39" t="str">
        <x:v>Tier</x:v>
      </x:c>
      <x:c r="P4" s="39" t="str">
        <x:v>Decision</x:v>
      </x:c>
      <x:c r="Q4" s="39" t="str">
        <x:v>Primary Source</x:v>
      </x:c>
      <x:c r="R4" s="39" t="str">
        <x:v>Evidence Source 2</x:v>
      </x:c>
      <x:c r="S4" s="39" t="str">
        <x:v>本人Email</x:v>
      </x:c>
      <x:c r="T4" s="39" t="str">
        <x:v>本人電話</x:v>
      </x:c>
      <x:c r="U4" s="39" t="str">
        <x:v>LinkedIn</x:v>
      </x:c>
      <x:c r="V4" s="39" t="str">
        <x:v>第二社群</x:v>
      </x:c>
      <x:c r="W4" s="39" t="str">
        <x:v>本人管道數</x:v>
      </x:c>
      <x:c r="X4" s="39" t="str">
        <x:v>Contact狀態</x:v>
      </x:c>
      <x:c r="Y4" s="39" t="str">
        <x:v>Salary/Level Risk</x:v>
      </x:c>
      <x:c r="Z4" s="39" t="str">
        <x:v>Work Auth/中文</x:v>
      </x:c>
      <x:c r="AA4" s="39" t="str">
        <x:v>Motorbike</x:v>
      </x:c>
      <x:c r="AB4" s="39" t="str">
        <x:v>Recruiter下一步</x:v>
      </x:c>
      <x:c r="AC4" s="39" t="str">
        <x:v>Why relevant</x:v>
      </x:c>
      <x:c r="AD4" s="39" t="str">
        <x:v>Source mix note</x:v>
      </x:c>
    </x:row>
    <x:row r="5" ht="24" hidden="0" customHeight="1">
      <x:c r="A5" s="33" t="str">
        <x:f>IF(B5="","",ROW()-4)</x:f>
      </x:c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 t="str">
        <x:f>IF(B5="","",SUM(H5:M5))</x:f>
      </x:c>
      <x:c r="O5" s="33" t="str">
        <x:f>IF(N5="","",IF(N5&gt;=80,"A",IF(N5&gt;=60,"B",IF(N5&gt;=40,"C","D"))))</x:f>
      </x:c>
      <x:c r="P5" s="33"/>
      <x:c r="Q5" s="33"/>
      <x:c r="R5" s="33"/>
      <x:c r="S5" s="33"/>
      <x:c r="T5" s="33"/>
      <x:c r="U5" s="33"/>
      <x:c r="V5" s="33"/>
      <x:c r="W5" s="33" t="str">
        <x:f>IF(B5="","",COUNTIF(S5:V5,"&lt;&gt;"))</x:f>
      </x:c>
      <x:c r="X5" s="33"/>
      <x:c r="Y5" s="33"/>
      <x:c r="Z5" s="33"/>
      <x:c r="AA5" s="33"/>
      <x:c r="AB5" s="33"/>
      <x:c r="AC5" s="33"/>
      <x:c r="AD5" s="33"/>
    </x:row>
    <x:row r="6" ht="24" hidden="0" customHeight="1">
      <x:c r="A6" s="33" t="str">
        <x:f>IF(B6="","",ROW()-4)</x:f>
      </x:c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 t="str">
        <x:f>IF(B6="","",SUM(H6:M6))</x:f>
      </x:c>
      <x:c r="O6" s="33" t="str">
        <x:f>IF(N6="","",IF(N6&gt;=80,"A",IF(N6&gt;=60,"B",IF(N6&gt;=40,"C","D"))))</x:f>
      </x:c>
      <x:c r="P6" s="33"/>
      <x:c r="Q6" s="33"/>
      <x:c r="R6" s="33"/>
      <x:c r="S6" s="33"/>
      <x:c r="T6" s="33"/>
      <x:c r="U6" s="33"/>
      <x:c r="V6" s="33"/>
      <x:c r="W6" s="33" t="str">
        <x:f>IF(B6="","",COUNTIF(S6:V6,"&lt;&gt;"))</x:f>
      </x:c>
      <x:c r="X6" s="33"/>
      <x:c r="Y6" s="33"/>
      <x:c r="Z6" s="33"/>
      <x:c r="AA6" s="33"/>
      <x:c r="AB6" s="33"/>
      <x:c r="AC6" s="33"/>
      <x:c r="AD6" s="33"/>
    </x:row>
    <x:row r="7" ht="24" hidden="0" customHeight="1">
      <x:c r="A7" s="33" t="str">
        <x:f>IF(B7="","",ROW()-4)</x:f>
      </x:c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 t="str">
        <x:f>IF(B7="","",SUM(H7:M7))</x:f>
      </x:c>
      <x:c r="O7" s="33" t="str">
        <x:f>IF(N7="","",IF(N7&gt;=80,"A",IF(N7&gt;=60,"B",IF(N7&gt;=40,"C","D"))))</x:f>
      </x:c>
      <x:c r="P7" s="33"/>
      <x:c r="Q7" s="33"/>
      <x:c r="R7" s="33"/>
      <x:c r="S7" s="33"/>
      <x:c r="T7" s="33"/>
      <x:c r="U7" s="33"/>
      <x:c r="V7" s="33"/>
      <x:c r="W7" s="33" t="str">
        <x:f>IF(B7="","",COUNTIF(S7:V7,"&lt;&gt;"))</x:f>
      </x:c>
      <x:c r="X7" s="33"/>
      <x:c r="Y7" s="33"/>
      <x:c r="Z7" s="33"/>
      <x:c r="AA7" s="33"/>
      <x:c r="AB7" s="33"/>
      <x:c r="AC7" s="33"/>
      <x:c r="AD7" s="33"/>
    </x:row>
    <x:row r="8" ht="24" hidden="0" customHeight="1">
      <x:c r="A8" s="33" t="str">
        <x:f>IF(B8="","",ROW()-4)</x:f>
      </x:c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 t="str">
        <x:f>IF(B8="","",SUM(H8:M8))</x:f>
      </x:c>
      <x:c r="O8" s="33" t="str">
        <x:f>IF(N8="","",IF(N8&gt;=80,"A",IF(N8&gt;=60,"B",IF(N8&gt;=40,"C","D"))))</x:f>
      </x:c>
      <x:c r="P8" s="33"/>
      <x:c r="Q8" s="33"/>
      <x:c r="R8" s="33"/>
      <x:c r="S8" s="33"/>
      <x:c r="T8" s="33"/>
      <x:c r="U8" s="33"/>
      <x:c r="V8" s="33"/>
      <x:c r="W8" s="33" t="str">
        <x:f>IF(B8="","",COUNTIF(S8:V8,"&lt;&gt;"))</x:f>
      </x:c>
      <x:c r="X8" s="33"/>
      <x:c r="Y8" s="33"/>
      <x:c r="Z8" s="33"/>
      <x:c r="AA8" s="33"/>
      <x:c r="AB8" s="33"/>
      <x:c r="AC8" s="33"/>
      <x:c r="AD8" s="33"/>
    </x:row>
    <x:row r="9" ht="24" hidden="0" customHeight="1">
      <x:c r="A9" s="33" t="str">
        <x:f>IF(B9="","",ROW()-4)</x:f>
      </x:c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 t="str">
        <x:f>IF(B9="","",SUM(H9:M9))</x:f>
      </x:c>
      <x:c r="O9" s="33" t="str">
        <x:f>IF(N9="","",IF(N9&gt;=80,"A",IF(N9&gt;=60,"B",IF(N9&gt;=40,"C","D"))))</x:f>
      </x:c>
      <x:c r="P9" s="33"/>
      <x:c r="Q9" s="33"/>
      <x:c r="R9" s="33"/>
      <x:c r="S9" s="33"/>
      <x:c r="T9" s="33"/>
      <x:c r="U9" s="33"/>
      <x:c r="V9" s="33"/>
      <x:c r="W9" s="33" t="str">
        <x:f>IF(B9="","",COUNTIF(S9:V9,"&lt;&gt;"))</x:f>
      </x:c>
      <x:c r="X9" s="33"/>
      <x:c r="Y9" s="33"/>
      <x:c r="Z9" s="33"/>
      <x:c r="AA9" s="33"/>
      <x:c r="AB9" s="33"/>
      <x:c r="AC9" s="33"/>
      <x:c r="AD9" s="33"/>
    </x:row>
    <x:row r="10" ht="24" hidden="0" customHeight="1">
      <x:c r="A10" s="33" t="str">
        <x:f>IF(B10="","",ROW()-4)</x:f>
      </x:c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 t="str">
        <x:f>IF(B10="","",SUM(H10:M10))</x:f>
      </x:c>
      <x:c r="O10" s="33" t="str">
        <x:f>IF(N10="","",IF(N10&gt;=80,"A",IF(N10&gt;=60,"B",IF(N10&gt;=40,"C","D"))))</x:f>
      </x:c>
      <x:c r="P10" s="33"/>
      <x:c r="Q10" s="33"/>
      <x:c r="R10" s="33"/>
      <x:c r="S10" s="33"/>
      <x:c r="T10" s="33"/>
      <x:c r="U10" s="33"/>
      <x:c r="V10" s="33"/>
      <x:c r="W10" s="33" t="str">
        <x:f>IF(B10="","",COUNTIF(S10:V10,"&lt;&gt;"))</x:f>
      </x:c>
      <x:c r="X10" s="33"/>
      <x:c r="Y10" s="33"/>
      <x:c r="Z10" s="33"/>
      <x:c r="AA10" s="33"/>
      <x:c r="AB10" s="33"/>
      <x:c r="AC10" s="33"/>
      <x:c r="AD10" s="33"/>
    </x:row>
    <x:row r="11" ht="24" hidden="0" customHeight="1">
      <x:c r="A11" s="33" t="str">
        <x:f>IF(B11="","",ROW()-4)</x:f>
      </x:c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 t="str">
        <x:f>IF(B11="","",SUM(H11:M11))</x:f>
      </x:c>
      <x:c r="O11" s="33" t="str">
        <x:f>IF(N11="","",IF(N11&gt;=80,"A",IF(N11&gt;=60,"B",IF(N11&gt;=40,"C","D"))))</x:f>
      </x:c>
      <x:c r="P11" s="33"/>
      <x:c r="Q11" s="33"/>
      <x:c r="R11" s="33"/>
      <x:c r="S11" s="33"/>
      <x:c r="T11" s="33"/>
      <x:c r="U11" s="33"/>
      <x:c r="V11" s="33"/>
      <x:c r="W11" s="33" t="str">
        <x:f>IF(B11="","",COUNTIF(S11:V11,"&lt;&gt;"))</x:f>
      </x:c>
      <x:c r="X11" s="33"/>
      <x:c r="Y11" s="33"/>
      <x:c r="Z11" s="33"/>
      <x:c r="AA11" s="33"/>
      <x:c r="AB11" s="33"/>
      <x:c r="AC11" s="33"/>
      <x:c r="AD11" s="33"/>
    </x:row>
    <x:row r="12" ht="24" hidden="0" customHeight="1">
      <x:c r="A12" s="33" t="str">
        <x:f>IF(B12="","",ROW()-4)</x:f>
      </x:c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 t="str">
        <x:f>IF(B12="","",SUM(H12:M12))</x:f>
      </x:c>
      <x:c r="O12" s="33" t="str">
        <x:f>IF(N12="","",IF(N12&gt;=80,"A",IF(N12&gt;=60,"B",IF(N12&gt;=40,"C","D"))))</x:f>
      </x:c>
      <x:c r="P12" s="33"/>
      <x:c r="Q12" s="33"/>
      <x:c r="R12" s="33"/>
      <x:c r="S12" s="33"/>
      <x:c r="T12" s="33"/>
      <x:c r="U12" s="33"/>
      <x:c r="V12" s="33"/>
      <x:c r="W12" s="33" t="str">
        <x:f>IF(B12="","",COUNTIF(S12:V12,"&lt;&gt;"))</x:f>
      </x:c>
      <x:c r="X12" s="33"/>
      <x:c r="Y12" s="33"/>
      <x:c r="Z12" s="33"/>
      <x:c r="AA12" s="33"/>
      <x:c r="AB12" s="33"/>
      <x:c r="AC12" s="33"/>
      <x:c r="AD12" s="33"/>
    </x:row>
    <x:row r="13" ht="24" hidden="0" customHeight="1">
      <x:c r="A13" s="33" t="str">
        <x:f>IF(B13="","",ROW()-4)</x:f>
      </x:c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 t="str">
        <x:f>IF(B13="","",SUM(H13:M13))</x:f>
      </x:c>
      <x:c r="O13" s="33" t="str">
        <x:f>IF(N13="","",IF(N13&gt;=80,"A",IF(N13&gt;=60,"B",IF(N13&gt;=40,"C","D"))))</x:f>
      </x:c>
      <x:c r="P13" s="33"/>
      <x:c r="Q13" s="33"/>
      <x:c r="R13" s="33"/>
      <x:c r="S13" s="33"/>
      <x:c r="T13" s="33"/>
      <x:c r="U13" s="33"/>
      <x:c r="V13" s="33"/>
      <x:c r="W13" s="33" t="str">
        <x:f>IF(B13="","",COUNTIF(S13:V13,"&lt;&gt;"))</x:f>
      </x:c>
      <x:c r="X13" s="33"/>
      <x:c r="Y13" s="33"/>
      <x:c r="Z13" s="33"/>
      <x:c r="AA13" s="33"/>
      <x:c r="AB13" s="33"/>
      <x:c r="AC13" s="33"/>
      <x:c r="AD13" s="33"/>
    </x:row>
    <x:row r="14" ht="24" hidden="0" customHeight="1">
      <x:c r="A14" s="33" t="str">
        <x:f>IF(B14="","",ROW()-4)</x:f>
      </x:c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 t="str">
        <x:f>IF(B14="","",SUM(H14:M14))</x:f>
      </x:c>
      <x:c r="O14" s="33" t="str">
        <x:f>IF(N14="","",IF(N14&gt;=80,"A",IF(N14&gt;=60,"B",IF(N14&gt;=40,"C","D"))))</x:f>
      </x:c>
      <x:c r="P14" s="33"/>
      <x:c r="Q14" s="33"/>
      <x:c r="R14" s="33"/>
      <x:c r="S14" s="33"/>
      <x:c r="T14" s="33"/>
      <x:c r="U14" s="33"/>
      <x:c r="V14" s="33"/>
      <x:c r="W14" s="33" t="str">
        <x:f>IF(B14="","",COUNTIF(S14:V14,"&lt;&gt;"))</x:f>
      </x:c>
      <x:c r="X14" s="33"/>
      <x:c r="Y14" s="33"/>
      <x:c r="Z14" s="33"/>
      <x:c r="AA14" s="33"/>
      <x:c r="AB14" s="33"/>
      <x:c r="AC14" s="33"/>
      <x:c r="AD14" s="33"/>
    </x:row>
    <x:row r="15" ht="24" hidden="0" customHeight="1">
      <x:c r="A15" s="33" t="str">
        <x:f>IF(B15="","",ROW()-4)</x:f>
      </x:c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 t="str">
        <x:f>IF(B15="","",SUM(H15:M15))</x:f>
      </x:c>
      <x:c r="O15" s="33" t="str">
        <x:f>IF(N15="","",IF(N15&gt;=80,"A",IF(N15&gt;=60,"B",IF(N15&gt;=40,"C","D"))))</x:f>
      </x:c>
      <x:c r="P15" s="33"/>
      <x:c r="Q15" s="33"/>
      <x:c r="R15" s="33"/>
      <x:c r="S15" s="33"/>
      <x:c r="T15" s="33"/>
      <x:c r="U15" s="33"/>
      <x:c r="V15" s="33"/>
      <x:c r="W15" s="33" t="str">
        <x:f>IF(B15="","",COUNTIF(S15:V15,"&lt;&gt;"))</x:f>
      </x:c>
      <x:c r="X15" s="33"/>
      <x:c r="Y15" s="33"/>
      <x:c r="Z15" s="33"/>
      <x:c r="AA15" s="33"/>
      <x:c r="AB15" s="33"/>
      <x:c r="AC15" s="33"/>
      <x:c r="AD15" s="33"/>
    </x:row>
    <x:row r="16" ht="24" hidden="0" customHeight="1">
      <x:c r="A16" s="33" t="str">
        <x:f>IF(B16="","",ROW()-4)</x:f>
      </x:c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 t="str">
        <x:f>IF(B16="","",SUM(H16:M16))</x:f>
      </x:c>
      <x:c r="O16" s="33" t="str">
        <x:f>IF(N16="","",IF(N16&gt;=80,"A",IF(N16&gt;=60,"B",IF(N16&gt;=40,"C","D"))))</x:f>
      </x:c>
      <x:c r="P16" s="33"/>
      <x:c r="Q16" s="33"/>
      <x:c r="R16" s="33"/>
      <x:c r="S16" s="33"/>
      <x:c r="T16" s="33"/>
      <x:c r="U16" s="33"/>
      <x:c r="V16" s="33"/>
      <x:c r="W16" s="33" t="str">
        <x:f>IF(B16="","",COUNTIF(S16:V16,"&lt;&gt;"))</x:f>
      </x:c>
      <x:c r="X16" s="33"/>
      <x:c r="Y16" s="33"/>
      <x:c r="Z16" s="33"/>
      <x:c r="AA16" s="33"/>
      <x:c r="AB16" s="33"/>
      <x:c r="AC16" s="33"/>
      <x:c r="AD16" s="33"/>
    </x:row>
    <x:row r="17" ht="24" hidden="0" customHeight="1">
      <x:c r="A17" s="33" t="str">
        <x:f>IF(B17="","",ROW()-4)</x:f>
      </x:c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 t="str">
        <x:f>IF(B17="","",SUM(H17:M17))</x:f>
      </x:c>
      <x:c r="O17" s="33" t="str">
        <x:f>IF(N17="","",IF(N17&gt;=80,"A",IF(N17&gt;=60,"B",IF(N17&gt;=40,"C","D"))))</x:f>
      </x:c>
      <x:c r="P17" s="33"/>
      <x:c r="Q17" s="33"/>
      <x:c r="R17" s="33"/>
      <x:c r="S17" s="33"/>
      <x:c r="T17" s="33"/>
      <x:c r="U17" s="33"/>
      <x:c r="V17" s="33"/>
      <x:c r="W17" s="33" t="str">
        <x:f>IF(B17="","",COUNTIF(S17:V17,"&lt;&gt;"))</x:f>
      </x:c>
      <x:c r="X17" s="33"/>
      <x:c r="Y17" s="33"/>
      <x:c r="Z17" s="33"/>
      <x:c r="AA17" s="33"/>
      <x:c r="AB17" s="33"/>
      <x:c r="AC17" s="33"/>
      <x:c r="AD17" s="33"/>
    </x:row>
    <x:row r="18" ht="24" hidden="0" customHeight="1">
      <x:c r="A18" s="33" t="str">
        <x:f>IF(B18="","",ROW()-4)</x:f>
      </x:c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 t="str">
        <x:f>IF(B18="","",SUM(H18:M18))</x:f>
      </x:c>
      <x:c r="O18" s="33" t="str">
        <x:f>IF(N18="","",IF(N18&gt;=80,"A",IF(N18&gt;=60,"B",IF(N18&gt;=40,"C","D"))))</x:f>
      </x:c>
      <x:c r="P18" s="33"/>
      <x:c r="Q18" s="33"/>
      <x:c r="R18" s="33"/>
      <x:c r="S18" s="33"/>
      <x:c r="T18" s="33"/>
      <x:c r="U18" s="33"/>
      <x:c r="V18" s="33"/>
      <x:c r="W18" s="33" t="str">
        <x:f>IF(B18="","",COUNTIF(S18:V18,"&lt;&gt;"))</x:f>
      </x:c>
      <x:c r="X18" s="33"/>
      <x:c r="Y18" s="33"/>
      <x:c r="Z18" s="33"/>
      <x:c r="AA18" s="33"/>
      <x:c r="AB18" s="33"/>
      <x:c r="AC18" s="33"/>
      <x:c r="AD18" s="33"/>
    </x:row>
    <x:row r="19" ht="24" hidden="0" customHeight="1">
      <x:c r="A19" s="33" t="str">
        <x:f>IF(B19="","",ROW()-4)</x:f>
      </x:c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 t="str">
        <x:f>IF(B19="","",SUM(H19:M19))</x:f>
      </x:c>
      <x:c r="O19" s="33" t="str">
        <x:f>IF(N19="","",IF(N19&gt;=80,"A",IF(N19&gt;=60,"B",IF(N19&gt;=40,"C","D"))))</x:f>
      </x:c>
      <x:c r="P19" s="33"/>
      <x:c r="Q19" s="33"/>
      <x:c r="R19" s="33"/>
      <x:c r="S19" s="33"/>
      <x:c r="T19" s="33"/>
      <x:c r="U19" s="33"/>
      <x:c r="V19" s="33"/>
      <x:c r="W19" s="33" t="str">
        <x:f>IF(B19="","",COUNTIF(S19:V19,"&lt;&gt;"))</x:f>
      </x:c>
      <x:c r="X19" s="33"/>
      <x:c r="Y19" s="33"/>
      <x:c r="Z19" s="33"/>
      <x:c r="AA19" s="33"/>
      <x:c r="AB19" s="33"/>
      <x:c r="AC19" s="33"/>
      <x:c r="AD19" s="33"/>
    </x:row>
    <x:row r="20" ht="24" hidden="0" customHeight="1">
      <x:c r="A20" s="33" t="str">
        <x:f>IF(B20="","",ROW()-4)</x:f>
      </x:c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 t="str">
        <x:f>IF(B20="","",SUM(H20:M20))</x:f>
      </x:c>
      <x:c r="O20" s="33" t="str">
        <x:f>IF(N20="","",IF(N20&gt;=80,"A",IF(N20&gt;=60,"B",IF(N20&gt;=40,"C","D"))))</x:f>
      </x:c>
      <x:c r="P20" s="33"/>
      <x:c r="Q20" s="33"/>
      <x:c r="R20" s="33"/>
      <x:c r="S20" s="33"/>
      <x:c r="T20" s="33"/>
      <x:c r="U20" s="33"/>
      <x:c r="V20" s="33"/>
      <x:c r="W20" s="33" t="str">
        <x:f>IF(B20="","",COUNTIF(S20:V20,"&lt;&gt;"))</x:f>
      </x:c>
      <x:c r="X20" s="33"/>
      <x:c r="Y20" s="33"/>
      <x:c r="Z20" s="33"/>
      <x:c r="AA20" s="33"/>
      <x:c r="AB20" s="33"/>
      <x:c r="AC20" s="33"/>
      <x:c r="AD20" s="33"/>
    </x:row>
    <x:row r="21" ht="24" hidden="0" customHeight="1">
      <x:c r="A21" s="33" t="str">
        <x:f>IF(B21="","",ROW()-4)</x:f>
      </x:c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 t="str">
        <x:f>IF(B21="","",SUM(H21:M21))</x:f>
      </x:c>
      <x:c r="O21" s="33" t="str">
        <x:f>IF(N21="","",IF(N21&gt;=80,"A",IF(N21&gt;=60,"B",IF(N21&gt;=40,"C","D"))))</x:f>
      </x:c>
      <x:c r="P21" s="33"/>
      <x:c r="Q21" s="33"/>
      <x:c r="R21" s="33"/>
      <x:c r="S21" s="33"/>
      <x:c r="T21" s="33"/>
      <x:c r="U21" s="33"/>
      <x:c r="V21" s="33"/>
      <x:c r="W21" s="33" t="str">
        <x:f>IF(B21="","",COUNTIF(S21:V21,"&lt;&gt;"))</x:f>
      </x:c>
      <x:c r="X21" s="33"/>
      <x:c r="Y21" s="33"/>
      <x:c r="Z21" s="33"/>
      <x:c r="AA21" s="33"/>
      <x:c r="AB21" s="33"/>
      <x:c r="AC21" s="33"/>
      <x:c r="AD21" s="33"/>
    </x:row>
    <x:row r="22" ht="24" hidden="0" customHeight="1">
      <x:c r="A22" s="33" t="str">
        <x:f>IF(B22="","",ROW()-4)</x:f>
      </x:c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 t="str">
        <x:f>IF(B22="","",SUM(H22:M22))</x:f>
      </x:c>
      <x:c r="O22" s="33" t="str">
        <x:f>IF(N22="","",IF(N22&gt;=80,"A",IF(N22&gt;=60,"B",IF(N22&gt;=40,"C","D"))))</x:f>
      </x:c>
      <x:c r="P22" s="33"/>
      <x:c r="Q22" s="33"/>
      <x:c r="R22" s="33"/>
      <x:c r="S22" s="33"/>
      <x:c r="T22" s="33"/>
      <x:c r="U22" s="33"/>
      <x:c r="V22" s="33"/>
      <x:c r="W22" s="33" t="str">
        <x:f>IF(B22="","",COUNTIF(S22:V22,"&lt;&gt;"))</x:f>
      </x:c>
      <x:c r="X22" s="33"/>
      <x:c r="Y22" s="33"/>
      <x:c r="Z22" s="33"/>
      <x:c r="AA22" s="33"/>
      <x:c r="AB22" s="33"/>
      <x:c r="AC22" s="33"/>
      <x:c r="AD22" s="33"/>
    </x:row>
    <x:row r="23" ht="24" hidden="0" customHeight="1">
      <x:c r="A23" s="33" t="str">
        <x:f>IF(B23="","",ROW()-4)</x:f>
      </x:c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 t="str">
        <x:f>IF(B23="","",SUM(H23:M23))</x:f>
      </x:c>
      <x:c r="O23" s="33" t="str">
        <x:f>IF(N23="","",IF(N23&gt;=80,"A",IF(N23&gt;=60,"B",IF(N23&gt;=40,"C","D"))))</x:f>
      </x:c>
      <x:c r="P23" s="33"/>
      <x:c r="Q23" s="33"/>
      <x:c r="R23" s="33"/>
      <x:c r="S23" s="33"/>
      <x:c r="T23" s="33"/>
      <x:c r="U23" s="33"/>
      <x:c r="V23" s="33"/>
      <x:c r="W23" s="33" t="str">
        <x:f>IF(B23="","",COUNTIF(S23:V23,"&lt;&gt;"))</x:f>
      </x:c>
      <x:c r="X23" s="33"/>
      <x:c r="Y23" s="33"/>
      <x:c r="Z23" s="33"/>
      <x:c r="AA23" s="33"/>
      <x:c r="AB23" s="33"/>
      <x:c r="AC23" s="33"/>
      <x:c r="AD23" s="33"/>
    </x:row>
    <x:row r="24" ht="24" hidden="0" customHeight="1">
      <x:c r="A24" s="33" t="str">
        <x:f>IF(B24="","",ROW()-4)</x:f>
      </x:c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 t="str">
        <x:f>IF(B24="","",SUM(H24:M24))</x:f>
      </x:c>
      <x:c r="O24" s="33" t="str">
        <x:f>IF(N24="","",IF(N24&gt;=80,"A",IF(N24&gt;=60,"B",IF(N24&gt;=40,"C","D"))))</x:f>
      </x:c>
      <x:c r="P24" s="33"/>
      <x:c r="Q24" s="33"/>
      <x:c r="R24" s="33"/>
      <x:c r="S24" s="33"/>
      <x:c r="T24" s="33"/>
      <x:c r="U24" s="33"/>
      <x:c r="V24" s="33"/>
      <x:c r="W24" s="33" t="str">
        <x:f>IF(B24="","",COUNTIF(S24:V24,"&lt;&gt;"))</x:f>
      </x:c>
      <x:c r="X24" s="33"/>
      <x:c r="Y24" s="33"/>
      <x:c r="Z24" s="33"/>
      <x:c r="AA24" s="33"/>
      <x:c r="AB24" s="33"/>
      <x:c r="AC24" s="33"/>
      <x:c r="AD24" s="33"/>
    </x:row>
    <x:row r="25" ht="24" hidden="0" customHeight="1">
      <x:c r="A25" s="33" t="str">
        <x:f>IF(B25="","",ROW()-4)</x:f>
      </x:c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 t="str">
        <x:f>IF(B25="","",SUM(H25:M25))</x:f>
      </x:c>
      <x:c r="O25" s="33" t="str">
        <x:f>IF(N25="","",IF(N25&gt;=80,"A",IF(N25&gt;=60,"B",IF(N25&gt;=40,"C","D"))))</x:f>
      </x:c>
      <x:c r="P25" s="33"/>
      <x:c r="Q25" s="33"/>
      <x:c r="R25" s="33"/>
      <x:c r="S25" s="33"/>
      <x:c r="T25" s="33"/>
      <x:c r="U25" s="33"/>
      <x:c r="V25" s="33"/>
      <x:c r="W25" s="33" t="str">
        <x:f>IF(B25="","",COUNTIF(S25:V25,"&lt;&gt;"))</x:f>
      </x:c>
      <x:c r="X25" s="33"/>
      <x:c r="Y25" s="33"/>
      <x:c r="Z25" s="33"/>
      <x:c r="AA25" s="33"/>
      <x:c r="AB25" s="33"/>
      <x:c r="AC25" s="33"/>
      <x:c r="AD25" s="33"/>
    </x:row>
    <x:row r="26" ht="24" hidden="0" customHeight="1">
      <x:c r="A26" s="33" t="str">
        <x:f>IF(B26="","",ROW()-4)</x:f>
      </x:c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 t="str">
        <x:f>IF(B26="","",SUM(H26:M26))</x:f>
      </x:c>
      <x:c r="O26" s="33" t="str">
        <x:f>IF(N26="","",IF(N26&gt;=80,"A",IF(N26&gt;=60,"B",IF(N26&gt;=40,"C","D"))))</x:f>
      </x:c>
      <x:c r="P26" s="33"/>
      <x:c r="Q26" s="33"/>
      <x:c r="R26" s="33"/>
      <x:c r="S26" s="33"/>
      <x:c r="T26" s="33"/>
      <x:c r="U26" s="33"/>
      <x:c r="V26" s="33"/>
      <x:c r="W26" s="33" t="str">
        <x:f>IF(B26="","",COUNTIF(S26:V26,"&lt;&gt;"))</x:f>
      </x:c>
      <x:c r="X26" s="33"/>
      <x:c r="Y26" s="33"/>
      <x:c r="Z26" s="33"/>
      <x:c r="AA26" s="33"/>
      <x:c r="AB26" s="33"/>
      <x:c r="AC26" s="33"/>
      <x:c r="AD26" s="33"/>
    </x:row>
    <x:row r="27" ht="24" hidden="0" customHeight="1">
      <x:c r="A27" s="33" t="str">
        <x:f>IF(B27="","",ROW()-4)</x:f>
      </x:c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 t="str">
        <x:f>IF(B27="","",SUM(H27:M27))</x:f>
      </x:c>
      <x:c r="O27" s="33" t="str">
        <x:f>IF(N27="","",IF(N27&gt;=80,"A",IF(N27&gt;=60,"B",IF(N27&gt;=40,"C","D"))))</x:f>
      </x:c>
      <x:c r="P27" s="33"/>
      <x:c r="Q27" s="33"/>
      <x:c r="R27" s="33"/>
      <x:c r="S27" s="33"/>
      <x:c r="T27" s="33"/>
      <x:c r="U27" s="33"/>
      <x:c r="V27" s="33"/>
      <x:c r="W27" s="33" t="str">
        <x:f>IF(B27="","",COUNTIF(S27:V27,"&lt;&gt;"))</x:f>
      </x:c>
      <x:c r="X27" s="33"/>
      <x:c r="Y27" s="33"/>
      <x:c r="Z27" s="33"/>
      <x:c r="AA27" s="33"/>
      <x:c r="AB27" s="33"/>
      <x:c r="AC27" s="33"/>
      <x:c r="AD27" s="33"/>
    </x:row>
    <x:row r="28" ht="24" hidden="0" customHeight="1">
      <x:c r="A28" s="33" t="str">
        <x:f>IF(B28="","",ROW()-4)</x:f>
      </x:c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 t="str">
        <x:f>IF(B28="","",SUM(H28:M28))</x:f>
      </x:c>
      <x:c r="O28" s="33" t="str">
        <x:f>IF(N28="","",IF(N28&gt;=80,"A",IF(N28&gt;=60,"B",IF(N28&gt;=40,"C","D"))))</x:f>
      </x:c>
      <x:c r="P28" s="33"/>
      <x:c r="Q28" s="33"/>
      <x:c r="R28" s="33"/>
      <x:c r="S28" s="33"/>
      <x:c r="T28" s="33"/>
      <x:c r="U28" s="33"/>
      <x:c r="V28" s="33"/>
      <x:c r="W28" s="33" t="str">
        <x:f>IF(B28="","",COUNTIF(S28:V28,"&lt;&gt;"))</x:f>
      </x:c>
      <x:c r="X28" s="33"/>
      <x:c r="Y28" s="33"/>
      <x:c r="Z28" s="33"/>
      <x:c r="AA28" s="33"/>
      <x:c r="AB28" s="33"/>
      <x:c r="AC28" s="33"/>
      <x:c r="AD28" s="33"/>
    </x:row>
    <x:row r="29" ht="15" hidden="0" customHeight="1">
      <x:c r="A29" s="33" t="str">
        <x:f>IF(B29="","",ROW()-4)</x:f>
      </x:c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 t="str">
        <x:f>IF(B29="","",SUM(H29:M29))</x:f>
      </x:c>
      <x:c r="O29" s="33" t="str">
        <x:f>IF(N29="","",IF(N29&gt;=80,"A",IF(N29&gt;=60,"B",IF(N29&gt;=40,"C","D"))))</x:f>
      </x:c>
      <x:c r="P29" s="33"/>
      <x:c r="Q29" s="33"/>
      <x:c r="R29" s="33"/>
      <x:c r="S29" s="33"/>
      <x:c r="T29" s="33"/>
      <x:c r="U29" s="33"/>
      <x:c r="V29" s="33"/>
      <x:c r="W29" s="33" t="str">
        <x:f>IF(B29="","",COUNTIF(S29:V29,"&lt;&gt;"))</x:f>
      </x:c>
      <x:c r="X29" s="33"/>
      <x:c r="Y29" s="33"/>
      <x:c r="Z29" s="33"/>
      <x:c r="AA29" s="33"/>
      <x:c r="AB29" s="33"/>
      <x:c r="AC29" s="33"/>
      <x:c r="AD29" s="33"/>
    </x:row>
    <x:row r="30" ht="24" hidden="0" customHeight="1">
      <x:c r="A30" s="33" t="str">
        <x:f>IF(B30="","",ROW()-4)</x:f>
      </x:c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 t="str">
        <x:f>IF(B30="","",SUM(H30:M30))</x:f>
      </x:c>
      <x:c r="O30" s="33" t="str">
        <x:f>IF(N30="","",IF(N30&gt;=80,"A",IF(N30&gt;=60,"B",IF(N30&gt;=40,"C","D"))))</x:f>
      </x:c>
      <x:c r="P30" s="33"/>
      <x:c r="Q30" s="33"/>
      <x:c r="R30" s="33"/>
      <x:c r="S30" s="33"/>
      <x:c r="T30" s="33"/>
      <x:c r="U30" s="33"/>
      <x:c r="V30" s="33"/>
      <x:c r="W30" s="33" t="str">
        <x:f>IF(B30="","",COUNTIF(S30:V30,"&lt;&gt;"))</x:f>
      </x:c>
      <x:c r="X30" s="33"/>
      <x:c r="Y30" s="33"/>
      <x:c r="Z30" s="33"/>
      <x:c r="AA30" s="33"/>
      <x:c r="AB30" s="33"/>
      <x:c r="AC30" s="33"/>
      <x:c r="AD30" s="33"/>
    </x:row>
    <x:row r="31" ht="24" hidden="0" customHeight="1">
      <x:c r="A31" s="33" t="str">
        <x:f>IF(B31="","",ROW()-4)</x:f>
      </x:c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 t="str">
        <x:f>IF(B31="","",SUM(H31:M31))</x:f>
      </x:c>
      <x:c r="O31" s="33" t="str">
        <x:f>IF(N31="","",IF(N31&gt;=80,"A",IF(N31&gt;=60,"B",IF(N31&gt;=40,"C","D"))))</x:f>
      </x:c>
      <x:c r="P31" s="33"/>
      <x:c r="Q31" s="33"/>
      <x:c r="R31" s="33"/>
      <x:c r="S31" s="33"/>
      <x:c r="T31" s="33"/>
      <x:c r="U31" s="33"/>
      <x:c r="V31" s="33"/>
      <x:c r="W31" s="33" t="str">
        <x:f>IF(B31="","",COUNTIF(S31:V31,"&lt;&gt;"))</x:f>
      </x:c>
      <x:c r="X31" s="33"/>
      <x:c r="Y31" s="33"/>
      <x:c r="Z31" s="33"/>
      <x:c r="AA31" s="33"/>
      <x:c r="AB31" s="33"/>
      <x:c r="AC31" s="33"/>
      <x:c r="AD31" s="33"/>
    </x:row>
    <x:row r="32" ht="15" hidden="0" customHeight="1">
      <x:c r="A32" s="33" t="str">
        <x:f>IF(B32="","",ROW()-4)</x:f>
      </x:c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 t="str">
        <x:f>IF(B32="","",SUM(H32:M32))</x:f>
      </x:c>
      <x:c r="O32" s="33" t="str">
        <x:f>IF(N32="","",IF(N32&gt;=80,"A",IF(N32&gt;=60,"B",IF(N32&gt;=40,"C","D"))))</x:f>
      </x:c>
      <x:c r="P32" s="33"/>
      <x:c r="Q32" s="33"/>
      <x:c r="R32" s="33"/>
      <x:c r="S32" s="33"/>
      <x:c r="T32" s="33"/>
      <x:c r="U32" s="33"/>
      <x:c r="V32" s="33"/>
      <x:c r="W32" s="33" t="str">
        <x:f>IF(B32="","",COUNTIF(S32:V32,"&lt;&gt;"))</x:f>
      </x:c>
      <x:c r="X32" s="33"/>
      <x:c r="Y32" s="33"/>
      <x:c r="Z32" s="33"/>
      <x:c r="AA32" s="33"/>
      <x:c r="AB32" s="33"/>
      <x:c r="AC32" s="33"/>
      <x:c r="AD32" s="33"/>
    </x:row>
    <x:row r="33" ht="24" hidden="0" customHeight="1">
      <x:c r="A33" s="33" t="str">
        <x:f>IF(B33="","",ROW()-4)</x:f>
      </x:c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 t="str">
        <x:f>IF(B33="","",SUM(H33:M33))</x:f>
      </x:c>
      <x:c r="O33" s="33" t="str">
        <x:f>IF(N33="","",IF(N33&gt;=80,"A",IF(N33&gt;=60,"B",IF(N33&gt;=40,"C","D"))))</x:f>
      </x:c>
      <x:c r="P33" s="33"/>
      <x:c r="Q33" s="33"/>
      <x:c r="R33" s="33"/>
      <x:c r="S33" s="33"/>
      <x:c r="T33" s="33"/>
      <x:c r="U33" s="33"/>
      <x:c r="V33" s="33"/>
      <x:c r="W33" s="33" t="str">
        <x:f>IF(B33="","",COUNTIF(S33:V33,"&lt;&gt;"))</x:f>
      </x:c>
      <x:c r="X33" s="33"/>
      <x:c r="Y33" s="33"/>
      <x:c r="Z33" s="33"/>
      <x:c r="AA33" s="33"/>
      <x:c r="AB33" s="33"/>
      <x:c r="AC33" s="33"/>
      <x:c r="AD33" s="33"/>
    </x:row>
    <x:row r="34" ht="15" hidden="0" customHeight="1">
      <x:c r="A34" s="33" t="str">
        <x:f>IF(B34="","",ROW()-4)</x:f>
      </x:c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 t="str">
        <x:f>IF(B34="","",SUM(H34:M34))</x:f>
      </x:c>
      <x:c r="O34" s="33" t="str">
        <x:f>IF(N34="","",IF(N34&gt;=80,"A",IF(N34&gt;=60,"B",IF(N34&gt;=40,"C","D"))))</x:f>
      </x:c>
      <x:c r="P34" s="33"/>
      <x:c r="Q34" s="33"/>
      <x:c r="R34" s="33"/>
      <x:c r="S34" s="33"/>
      <x:c r="T34" s="33"/>
      <x:c r="U34" s="33"/>
      <x:c r="V34" s="33"/>
      <x:c r="W34" s="33" t="str">
        <x:f>IF(B34="","",COUNTIF(S34:V34,"&lt;&gt;"))</x:f>
      </x:c>
      <x:c r="X34" s="33"/>
      <x:c r="Y34" s="33"/>
      <x:c r="Z34" s="33"/>
      <x:c r="AA34" s="33"/>
      <x:c r="AB34" s="33"/>
      <x:c r="AC34" s="33"/>
      <x:c r="AD34" s="33"/>
    </x:row>
  </x:sheetData>
  <x:mergeCells>
    <x:mergeCell ref="A1:AD1"/>
    <x:mergeCell ref="A3:AD3"/>
  </x:mergeCells>
  <x:conditionalFormatting sqref="C5:C34">
    <x:cfRule type="containsText" dxfId="0" priority="1" operator="containsText" text="QUALIFIED_PUBLIC"/>
    <x:cfRule type="containsText" dxfId="1" priority="2" operator="containsText" text="CONTACT_AFTER"/>
  </x:conditionalFormatting>
  <x:conditionalFormatting sqref="N5:N34">
    <x:cfRule type="dataBar" priority="3">
      <x:dataBar>
        <x:cfvo type="min"/>
        <x:cfvo type="max"/>
        <x:color rgb="FF0B7A75"/>
      </x:dataBar>
      <x:extLst>
        <x:ext xmlns:x14="http://schemas.microsoft.com/office/spreadsheetml/2009/9/main" uri="{B025F937-C7B1-47D3-B67F-A62EFF666E3E}">
          <x14:id>{C1199604-18A3-0523-27D2-B91D394B6BEA}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0bc8ad0944747f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C1199604-18A3-0523-27D2-B91D394B6BEA}">
            <x14:dataBar gradient="1">
              <x14:cfvo type="min"/>
              <x14:cfvo type="max"/>
              <x14:fillColor rgb="FF0B7A75"/>
            </x14:dataBar>
          </x14:cfRule>
          <xm:sqref>N5:N34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2" hidden="0" customWidth="1"/>
    <x:col min="4" max="4" width="22" hidden="0" customWidth="1"/>
    <x:col min="5" max="5" width="48" hidden="0" customWidth="1"/>
    <x:col min="6" max="6" width="48" hidden="0" customWidth="1"/>
    <x:col min="7" max="7" width="20" hidden="0" customWidth="1"/>
    <x:col min="8" max="8" width="14" hidden="0" customWidth="1"/>
    <x:col min="9" max="9" width="22" hidden="0" customWidth="1"/>
    <x:col min="10" max="10" width="22" hidden="0" customWidth="1"/>
    <x:col min="11" max="11" width="22" hidden="0" customWidth="1"/>
    <x:col min="12" max="12" width="55" hidden="0" customWidth="1"/>
    <x:col min="13" max="13" width="55" hidden="0" customWidth="1"/>
    <x:col min="14" max="14" width="48" hidden="0" customWidth="1"/>
  </x:cols>
  <x:sheetData>
    <x:row r="1" ht="15" hidden="0" customHeight="1">
      <x:c r="A1" s="38" t="str">
        <x:v>Contact Enrichment｜只處理已通過/待確認 Gate 的人選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</x:row>
    <x:row r="2" ht="15" hidden="0" customHeight="1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</x:row>
    <x:row r="3" ht="15" hidden="0" customHeight="1">
      <x:c r="A3" s="34" t="str">
        <x:v>優先序：本人公開Email → 本人公開電話 → 本人社群。公司總機、系辦、學術Email與推定Email不算本人管道；同名結果沒有公司/學校/職域錨點就排除。</x:v>
      </x:c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</x:row>
    <x:row r="4" ht="34" hidden="0" customHeight="1">
      <x:c r="A4" s="39" t="str">
        <x:v>姓名</x:v>
      </x:c>
      <x:c r="B4" s="39" t="str">
        <x:v>Fit Score</x:v>
      </x:c>
      <x:c r="C4" s="39" t="str">
        <x:v>本人公開Email</x:v>
      </x:c>
      <x:c r="D4" s="39" t="str">
        <x:v>本人公開電話</x:v>
      </x:c>
      <x:c r="E4" s="39" t="str">
        <x:v>LinkedIn</x:v>
      </x:c>
      <x:c r="F4" s="39" t="str">
        <x:v>第二社群</x:v>
      </x:c>
      <x:c r="G4" s="39" t="str">
        <x:v>第三社群</x:v>
      </x:c>
      <x:c r="H4" s="39" t="str">
        <x:v>本人管道數</x:v>
      </x:c>
      <x:c r="I4" s="39" t="str">
        <x:v>Email查找狀態</x:v>
      </x:c>
      <x:c r="J4" s="39" t="str">
        <x:v>電話查找狀態</x:v>
      </x:c>
      <x:c r="K4" s="39" t="str">
        <x:v>社群驗證</x:v>
      </x:c>
      <x:c r="L4" s="39" t="str">
        <x:v>最近搜尋結論</x:v>
      </x:c>
      <x:c r="M4" s="39" t="str">
        <x:v>停止/續查規則</x:v>
      </x:c>
      <x:c r="N4" s="39" t="str">
        <x:v>來源</x:v>
      </x:c>
    </x:row>
    <x:row r="5" ht="15" hidden="0" customHeight="1">
      <x:c r="A5" s="33" t="str">
        <x:f>IF('01_Qualified Pool'!B5="","",'01_Qualified Pool'!B5)</x:f>
      </x:c>
      <x:c r="B5" s="33" t="str">
        <x:f>IF(A5="","",'01_Qualified Pool'!N5)</x:f>
      </x:c>
      <x:c r="C5" s="33"/>
      <x:c r="D5" s="33"/>
      <x:c r="E5" s="33"/>
      <x:c r="F5" s="33"/>
      <x:c r="G5" s="33"/>
      <x:c r="H5" s="33" t="str">
        <x:f>IF(A5="","",COUNTIF(C5:G5,"&lt;&gt;"))</x:f>
      </x:c>
      <x:c r="I5" s="33" t="str">
        <x:f>IF(A5="","","NOT_STARTED")</x:f>
      </x:c>
      <x:c r="J5" s="33" t="str">
        <x:f>IF(A5="","","NOT_STARTED")</x:f>
      </x:c>
      <x:c r="K5" s="33" t="str">
        <x:f>IF(A5="","","NOT_STARTED")</x:f>
      </x:c>
      <x:c r="L5" s="33"/>
      <x:c r="M5" s="33"/>
      <x:c r="N5" s="33"/>
    </x:row>
    <x:row r="6" ht="15" hidden="0" customHeight="1">
      <x:c r="A6" s="33" t="str">
        <x:f>IF('01_Qualified Pool'!B6="","",'01_Qualified Pool'!B6)</x:f>
      </x:c>
      <x:c r="B6" s="33" t="str">
        <x:f>IF(A6="","",'01_Qualified Pool'!N6)</x:f>
      </x:c>
      <x:c r="C6" s="33"/>
      <x:c r="D6" s="33"/>
      <x:c r="E6" s="33"/>
      <x:c r="F6" s="33"/>
      <x:c r="G6" s="33"/>
      <x:c r="H6" s="33" t="str">
        <x:f>IF(A6="","",COUNTIF(C6:G6,"&lt;&gt;"))</x:f>
      </x:c>
      <x:c r="I6" s="33" t="str">
        <x:f>IF(A6="","","NOT_STARTED")</x:f>
      </x:c>
      <x:c r="J6" s="33" t="str">
        <x:f>IF(A6="","","NOT_STARTED")</x:f>
      </x:c>
      <x:c r="K6" s="33" t="str">
        <x:f>IF(A6="","","NOT_STARTED")</x:f>
      </x:c>
      <x:c r="L6" s="33"/>
      <x:c r="M6" s="33"/>
      <x:c r="N6" s="33"/>
    </x:row>
    <x:row r="7" ht="24" hidden="0" customHeight="1">
      <x:c r="A7" s="33" t="str">
        <x:f>IF('01_Qualified Pool'!B7="","",'01_Qualified Pool'!B7)</x:f>
      </x:c>
      <x:c r="B7" s="33" t="str">
        <x:f>IF(A7="","",'01_Qualified Pool'!N7)</x:f>
      </x:c>
      <x:c r="C7" s="33"/>
      <x:c r="D7" s="33"/>
      <x:c r="E7" s="33"/>
      <x:c r="F7" s="33"/>
      <x:c r="G7" s="33"/>
      <x:c r="H7" s="33" t="str">
        <x:f>IF(A7="","",COUNTIF(C7:G7,"&lt;&gt;"))</x:f>
      </x:c>
      <x:c r="I7" s="33" t="str">
        <x:f>IF(A7="","","NOT_STARTED")</x:f>
      </x:c>
      <x:c r="J7" s="33" t="str">
        <x:f>IF(A7="","","NOT_STARTED")</x:f>
      </x:c>
      <x:c r="K7" s="33" t="str">
        <x:f>IF(A7="","","NOT_STARTED")</x:f>
      </x:c>
      <x:c r="L7" s="33"/>
      <x:c r="M7" s="33"/>
      <x:c r="N7" s="33"/>
    </x:row>
    <x:row r="8" ht="24" hidden="0" customHeight="1">
      <x:c r="A8" s="33" t="str">
        <x:f>IF('01_Qualified Pool'!B8="","",'01_Qualified Pool'!B8)</x:f>
      </x:c>
      <x:c r="B8" s="33" t="str">
        <x:f>IF(A8="","",'01_Qualified Pool'!N8)</x:f>
      </x:c>
      <x:c r="C8" s="33"/>
      <x:c r="D8" s="33"/>
      <x:c r="E8" s="33"/>
      <x:c r="F8" s="33"/>
      <x:c r="G8" s="33"/>
      <x:c r="H8" s="33" t="str">
        <x:f>IF(A8="","",COUNTIF(C8:G8,"&lt;&gt;"))</x:f>
      </x:c>
      <x:c r="I8" s="33" t="str">
        <x:f>IF(A8="","","NOT_STARTED")</x:f>
      </x:c>
      <x:c r="J8" s="33" t="str">
        <x:f>IF(A8="","","NOT_STARTED")</x:f>
      </x:c>
      <x:c r="K8" s="33" t="str">
        <x:f>IF(A8="","","NOT_STARTED")</x:f>
      </x:c>
      <x:c r="L8" s="33"/>
      <x:c r="M8" s="33"/>
      <x:c r="N8" s="33"/>
    </x:row>
    <x:row r="9" ht="24" hidden="0" customHeight="1">
      <x:c r="A9" s="33" t="str">
        <x:f>IF('01_Qualified Pool'!B9="","",'01_Qualified Pool'!B9)</x:f>
      </x:c>
      <x:c r="B9" s="33" t="str">
        <x:f>IF(A9="","",'01_Qualified Pool'!N9)</x:f>
      </x:c>
      <x:c r="C9" s="33"/>
      <x:c r="D9" s="33"/>
      <x:c r="E9" s="33"/>
      <x:c r="F9" s="33"/>
      <x:c r="G9" s="33"/>
      <x:c r="H9" s="33" t="str">
        <x:f>IF(A9="","",COUNTIF(C9:G9,"&lt;&gt;"))</x:f>
      </x:c>
      <x:c r="I9" s="33" t="str">
        <x:f>IF(A9="","","NOT_STARTED")</x:f>
      </x:c>
      <x:c r="J9" s="33" t="str">
        <x:f>IF(A9="","","NOT_STARTED")</x:f>
      </x:c>
      <x:c r="K9" s="33" t="str">
        <x:f>IF(A9="","","NOT_STARTED")</x:f>
      </x:c>
      <x:c r="L9" s="33"/>
      <x:c r="M9" s="33"/>
      <x:c r="N9" s="33"/>
    </x:row>
    <x:row r="10" ht="24" hidden="0" customHeight="1">
      <x:c r="A10" s="33" t="str">
        <x:f>IF('01_Qualified Pool'!B10="","",'01_Qualified Pool'!B10)</x:f>
      </x:c>
      <x:c r="B10" s="33" t="str">
        <x:f>IF(A10="","",'01_Qualified Pool'!N10)</x:f>
      </x:c>
      <x:c r="C10" s="33"/>
      <x:c r="D10" s="33"/>
      <x:c r="E10" s="33"/>
      <x:c r="F10" s="33"/>
      <x:c r="G10" s="33"/>
      <x:c r="H10" s="33" t="str">
        <x:f>IF(A10="","",COUNTIF(C10:G10,"&lt;&gt;"))</x:f>
      </x:c>
      <x:c r="I10" s="33" t="str">
        <x:f>IF(A10="","","NOT_STARTED")</x:f>
      </x:c>
      <x:c r="J10" s="33" t="str">
        <x:f>IF(A10="","","NOT_STARTED")</x:f>
      </x:c>
      <x:c r="K10" s="33" t="str">
        <x:f>IF(A10="","","NOT_STARTED")</x:f>
      </x:c>
      <x:c r="L10" s="33"/>
      <x:c r="M10" s="33"/>
      <x:c r="N10" s="33"/>
    </x:row>
    <x:row r="11" ht="24" hidden="0" customHeight="1">
      <x:c r="A11" s="33" t="str">
        <x:f>IF('01_Qualified Pool'!B11="","",'01_Qualified Pool'!B11)</x:f>
      </x:c>
      <x:c r="B11" s="33" t="str">
        <x:f>IF(A11="","",'01_Qualified Pool'!N11)</x:f>
      </x:c>
      <x:c r="C11" s="33"/>
      <x:c r="D11" s="33"/>
      <x:c r="E11" s="33"/>
      <x:c r="F11" s="33"/>
      <x:c r="G11" s="33"/>
      <x:c r="H11" s="33" t="str">
        <x:f>IF(A11="","",COUNTIF(C11:G11,"&lt;&gt;"))</x:f>
      </x:c>
      <x:c r="I11" s="33" t="str">
        <x:f>IF(A11="","","NOT_STARTED")</x:f>
      </x:c>
      <x:c r="J11" s="33" t="str">
        <x:f>IF(A11="","","NOT_STARTED")</x:f>
      </x:c>
      <x:c r="K11" s="33" t="str">
        <x:f>IF(A11="","","NOT_STARTED")</x:f>
      </x:c>
      <x:c r="L11" s="33"/>
      <x:c r="M11" s="33"/>
      <x:c r="N11" s="33"/>
    </x:row>
    <x:row r="12" ht="15" hidden="0" customHeight="1">
      <x:c r="A12" s="33" t="str">
        <x:f>IF('01_Qualified Pool'!B12="","",'01_Qualified Pool'!B12)</x:f>
      </x:c>
      <x:c r="B12" s="33" t="str">
        <x:f>IF(A12="","",'01_Qualified Pool'!N12)</x:f>
      </x:c>
      <x:c r="C12" s="33"/>
      <x:c r="D12" s="33"/>
      <x:c r="E12" s="33"/>
      <x:c r="F12" s="33"/>
      <x:c r="G12" s="33"/>
      <x:c r="H12" s="33" t="str">
        <x:f>IF(A12="","",COUNTIF(C12:G12,"&lt;&gt;"))</x:f>
      </x:c>
      <x:c r="I12" s="33" t="str">
        <x:f>IF(A12="","","NOT_STARTED")</x:f>
      </x:c>
      <x:c r="J12" s="33" t="str">
        <x:f>IF(A12="","","NOT_STARTED")</x:f>
      </x:c>
      <x:c r="K12" s="33" t="str">
        <x:f>IF(A12="","","NOT_STARTED")</x:f>
      </x:c>
      <x:c r="L12" s="33"/>
      <x:c r="M12" s="33"/>
      <x:c r="N12" s="33"/>
    </x:row>
    <x:row r="13" ht="15" hidden="0" customHeight="1">
      <x:c r="A13" s="33" t="str">
        <x:f>IF('01_Qualified Pool'!B13="","",'01_Qualified Pool'!B13)</x:f>
      </x:c>
      <x:c r="B13" s="33" t="str">
        <x:f>IF(A13="","",'01_Qualified Pool'!N13)</x:f>
      </x:c>
      <x:c r="C13" s="33"/>
      <x:c r="D13" s="33"/>
      <x:c r="E13" s="33"/>
      <x:c r="F13" s="33"/>
      <x:c r="G13" s="33"/>
      <x:c r="H13" s="33" t="str">
        <x:f>IF(A13="","",COUNTIF(C13:G13,"&lt;&gt;"))</x:f>
      </x:c>
      <x:c r="I13" s="33" t="str">
        <x:f>IF(A13="","","NOT_STARTED")</x:f>
      </x:c>
      <x:c r="J13" s="33" t="str">
        <x:f>IF(A13="","","NOT_STARTED")</x:f>
      </x:c>
      <x:c r="K13" s="33" t="str">
        <x:f>IF(A13="","","NOT_STARTED")</x:f>
      </x:c>
      <x:c r="L13" s="33"/>
      <x:c r="M13" s="33"/>
      <x:c r="N13" s="33"/>
    </x:row>
    <x:row r="14" ht="15" hidden="0" customHeight="1">
      <x:c r="A14" s="33" t="str">
        <x:f>IF('01_Qualified Pool'!B14="","",'01_Qualified Pool'!B14)</x:f>
      </x:c>
      <x:c r="B14" s="33" t="str">
        <x:f>IF(A14="","",'01_Qualified Pool'!N14)</x:f>
      </x:c>
      <x:c r="C14" s="33"/>
      <x:c r="D14" s="33"/>
      <x:c r="E14" s="33"/>
      <x:c r="F14" s="33"/>
      <x:c r="G14" s="33"/>
      <x:c r="H14" s="33" t="str">
        <x:f>IF(A14="","",COUNTIF(C14:G14,"&lt;&gt;"))</x:f>
      </x:c>
      <x:c r="I14" s="33" t="str">
        <x:f>IF(A14="","","NOT_STARTED")</x:f>
      </x:c>
      <x:c r="J14" s="33" t="str">
        <x:f>IF(A14="","","NOT_STARTED")</x:f>
      </x:c>
      <x:c r="K14" s="33" t="str">
        <x:f>IF(A14="","","NOT_STARTED")</x:f>
      </x:c>
      <x:c r="L14" s="33"/>
      <x:c r="M14" s="33"/>
      <x:c r="N14" s="33"/>
    </x:row>
    <x:row r="15" ht="15" hidden="0" customHeight="1">
      <x:c r="A15" s="33" t="str">
        <x:f>IF('01_Qualified Pool'!B15="","",'01_Qualified Pool'!B15)</x:f>
      </x:c>
      <x:c r="B15" s="33" t="str">
        <x:f>IF(A15="","",'01_Qualified Pool'!N15)</x:f>
      </x:c>
      <x:c r="C15" s="33"/>
      <x:c r="D15" s="33"/>
      <x:c r="E15" s="33"/>
      <x:c r="F15" s="33"/>
      <x:c r="G15" s="33"/>
      <x:c r="H15" s="33" t="str">
        <x:f>IF(A15="","",COUNTIF(C15:G15,"&lt;&gt;"))</x:f>
      </x:c>
      <x:c r="I15" s="33" t="str">
        <x:f>IF(A15="","","NOT_STARTED")</x:f>
      </x:c>
      <x:c r="J15" s="33" t="str">
        <x:f>IF(A15="","","NOT_STARTED")</x:f>
      </x:c>
      <x:c r="K15" s="33" t="str">
        <x:f>IF(A15="","","NOT_STARTED")</x:f>
      </x:c>
      <x:c r="L15" s="33"/>
      <x:c r="M15" s="33"/>
      <x:c r="N15" s="33"/>
    </x:row>
    <x:row r="16" ht="15" hidden="0" customHeight="1">
      <x:c r="A16" s="33" t="str">
        <x:f>IF('01_Qualified Pool'!B16="","",'01_Qualified Pool'!B16)</x:f>
      </x:c>
      <x:c r="B16" s="33" t="str">
        <x:f>IF(A16="","",'01_Qualified Pool'!N16)</x:f>
      </x:c>
      <x:c r="C16" s="33"/>
      <x:c r="D16" s="33"/>
      <x:c r="E16" s="33"/>
      <x:c r="F16" s="33"/>
      <x:c r="G16" s="33"/>
      <x:c r="H16" s="33" t="str">
        <x:f>IF(A16="","",COUNTIF(C16:G16,"&lt;&gt;"))</x:f>
      </x:c>
      <x:c r="I16" s="33" t="str">
        <x:f>IF(A16="","","NOT_STARTED")</x:f>
      </x:c>
      <x:c r="J16" s="33" t="str">
        <x:f>IF(A16="","","NOT_STARTED")</x:f>
      </x:c>
      <x:c r="K16" s="33" t="str">
        <x:f>IF(A16="","","NOT_STARTED")</x:f>
      </x:c>
      <x:c r="L16" s="33"/>
      <x:c r="M16" s="33"/>
      <x:c r="N16" s="33"/>
    </x:row>
    <x:row r="17" ht="15" hidden="0" customHeight="1">
      <x:c r="A17" s="33" t="str">
        <x:f>IF('01_Qualified Pool'!B17="","",'01_Qualified Pool'!B17)</x:f>
      </x:c>
      <x:c r="B17" s="33" t="str">
        <x:f>IF(A17="","",'01_Qualified Pool'!N17)</x:f>
      </x:c>
      <x:c r="C17" s="33"/>
      <x:c r="D17" s="33"/>
      <x:c r="E17" s="33"/>
      <x:c r="F17" s="33"/>
      <x:c r="G17" s="33"/>
      <x:c r="H17" s="33" t="str">
        <x:f>IF(A17="","",COUNTIF(C17:G17,"&lt;&gt;"))</x:f>
      </x:c>
      <x:c r="I17" s="33" t="str">
        <x:f>IF(A17="","","NOT_STARTED")</x:f>
      </x:c>
      <x:c r="J17" s="33" t="str">
        <x:f>IF(A17="","","NOT_STARTED")</x:f>
      </x:c>
      <x:c r="K17" s="33" t="str">
        <x:f>IF(A17="","","NOT_STARTED")</x:f>
      </x:c>
      <x:c r="L17" s="33"/>
      <x:c r="M17" s="33"/>
      <x:c r="N17" s="33"/>
    </x:row>
    <x:row r="18" ht="15" hidden="0" customHeight="1">
      <x:c r="A18" s="33" t="str">
        <x:f>IF('01_Qualified Pool'!B18="","",'01_Qualified Pool'!B18)</x:f>
      </x:c>
      <x:c r="B18" s="33" t="str">
        <x:f>IF(A18="","",'01_Qualified Pool'!N18)</x:f>
      </x:c>
      <x:c r="C18" s="33"/>
      <x:c r="D18" s="33"/>
      <x:c r="E18" s="33"/>
      <x:c r="F18" s="33"/>
      <x:c r="G18" s="33"/>
      <x:c r="H18" s="33" t="str">
        <x:f>IF(A18="","",COUNTIF(C18:G18,"&lt;&gt;"))</x:f>
      </x:c>
      <x:c r="I18" s="33" t="str">
        <x:f>IF(A18="","","NOT_STARTED")</x:f>
      </x:c>
      <x:c r="J18" s="33" t="str">
        <x:f>IF(A18="","","NOT_STARTED")</x:f>
      </x:c>
      <x:c r="K18" s="33" t="str">
        <x:f>IF(A18="","","NOT_STARTED")</x:f>
      </x:c>
      <x:c r="L18" s="33"/>
      <x:c r="M18" s="33"/>
      <x:c r="N18" s="33"/>
    </x:row>
    <x:row r="19" ht="15" hidden="0" customHeight="1">
      <x:c r="A19" s="33" t="str">
        <x:f>IF('01_Qualified Pool'!B19="","",'01_Qualified Pool'!B19)</x:f>
      </x:c>
      <x:c r="B19" s="33" t="str">
        <x:f>IF(A19="","",'01_Qualified Pool'!N19)</x:f>
      </x:c>
      <x:c r="C19" s="33"/>
      <x:c r="D19" s="33"/>
      <x:c r="E19" s="33"/>
      <x:c r="F19" s="33"/>
      <x:c r="G19" s="33"/>
      <x:c r="H19" s="33" t="str">
        <x:f>IF(A19="","",COUNTIF(C19:G19,"&lt;&gt;"))</x:f>
      </x:c>
      <x:c r="I19" s="33" t="str">
        <x:f>IF(A19="","","NOT_STARTED")</x:f>
      </x:c>
      <x:c r="J19" s="33" t="str">
        <x:f>IF(A19="","","NOT_STARTED")</x:f>
      </x:c>
      <x:c r="K19" s="33" t="str">
        <x:f>IF(A19="","","NOT_STARTED")</x:f>
      </x:c>
      <x:c r="L19" s="33"/>
      <x:c r="M19" s="33"/>
      <x:c r="N19" s="33"/>
    </x:row>
    <x:row r="20" ht="15" hidden="0" customHeight="1">
      <x:c r="A20" s="33" t="str">
        <x:f>IF('01_Qualified Pool'!B20="","",'01_Qualified Pool'!B20)</x:f>
      </x:c>
      <x:c r="B20" s="33" t="str">
        <x:f>IF(A20="","",'01_Qualified Pool'!N20)</x:f>
      </x:c>
      <x:c r="C20" s="33"/>
      <x:c r="D20" s="33"/>
      <x:c r="E20" s="33"/>
      <x:c r="F20" s="33"/>
      <x:c r="G20" s="33"/>
      <x:c r="H20" s="33" t="str">
        <x:f>IF(A20="","",COUNTIF(C20:G20,"&lt;&gt;"))</x:f>
      </x:c>
      <x:c r="I20" s="33" t="str">
        <x:f>IF(A20="","","NOT_STARTED")</x:f>
      </x:c>
      <x:c r="J20" s="33" t="str">
        <x:f>IF(A20="","","NOT_STARTED")</x:f>
      </x:c>
      <x:c r="K20" s="33" t="str">
        <x:f>IF(A20="","","NOT_STARTED")</x:f>
      </x:c>
      <x:c r="L20" s="33"/>
      <x:c r="M20" s="33"/>
      <x:c r="N20" s="33"/>
    </x:row>
    <x:row r="21" ht="24" hidden="0" customHeight="1">
      <x:c r="A21" s="33" t="str">
        <x:f>IF('01_Qualified Pool'!B21="","",'01_Qualified Pool'!B21)</x:f>
      </x:c>
      <x:c r="B21" s="33" t="str">
        <x:f>IF(A21="","",'01_Qualified Pool'!N21)</x:f>
      </x:c>
      <x:c r="C21" s="33"/>
      <x:c r="D21" s="33"/>
      <x:c r="E21" s="33"/>
      <x:c r="F21" s="33"/>
      <x:c r="G21" s="33"/>
      <x:c r="H21" s="33" t="str">
        <x:f>IF(A21="","",COUNTIF(C21:G21,"&lt;&gt;"))</x:f>
      </x:c>
      <x:c r="I21" s="33" t="str">
        <x:f>IF(A21="","","NOT_STARTED")</x:f>
      </x:c>
      <x:c r="J21" s="33" t="str">
        <x:f>IF(A21="","","NOT_STARTED")</x:f>
      </x:c>
      <x:c r="K21" s="33" t="str">
        <x:f>IF(A21="","","NOT_STARTED")</x:f>
      </x:c>
      <x:c r="L21" s="33"/>
      <x:c r="M21" s="33"/>
      <x:c r="N21" s="33"/>
    </x:row>
    <x:row r="22" ht="15" hidden="0" customHeight="1">
      <x:c r="A22" s="33" t="str">
        <x:f>IF('01_Qualified Pool'!B22="","",'01_Qualified Pool'!B22)</x:f>
      </x:c>
      <x:c r="B22" s="33" t="str">
        <x:f>IF(A22="","",'01_Qualified Pool'!N22)</x:f>
      </x:c>
      <x:c r="C22" s="33"/>
      <x:c r="D22" s="33"/>
      <x:c r="E22" s="33"/>
      <x:c r="F22" s="33"/>
      <x:c r="G22" s="33"/>
      <x:c r="H22" s="33" t="str">
        <x:f>IF(A22="","",COUNTIF(C22:G22,"&lt;&gt;"))</x:f>
      </x:c>
      <x:c r="I22" s="33" t="str">
        <x:f>IF(A22="","","NOT_STARTED")</x:f>
      </x:c>
      <x:c r="J22" s="33" t="str">
        <x:f>IF(A22="","","NOT_STARTED")</x:f>
      </x:c>
      <x:c r="K22" s="33" t="str">
        <x:f>IF(A22="","","NOT_STARTED")</x:f>
      </x:c>
      <x:c r="L22" s="33"/>
      <x:c r="M22" s="33"/>
      <x:c r="N22" s="33"/>
    </x:row>
    <x:row r="23" ht="15" hidden="0" customHeight="1">
      <x:c r="A23" s="33" t="str">
        <x:f>IF('01_Qualified Pool'!B23="","",'01_Qualified Pool'!B23)</x:f>
      </x:c>
      <x:c r="B23" s="33" t="str">
        <x:f>IF(A23="","",'01_Qualified Pool'!N23)</x:f>
      </x:c>
      <x:c r="C23" s="33"/>
      <x:c r="D23" s="33"/>
      <x:c r="E23" s="33"/>
      <x:c r="F23" s="33"/>
      <x:c r="G23" s="33"/>
      <x:c r="H23" s="33" t="str">
        <x:f>IF(A23="","",COUNTIF(C23:G23,"&lt;&gt;"))</x:f>
      </x:c>
      <x:c r="I23" s="33" t="str">
        <x:f>IF(A23="","","NOT_STARTED")</x:f>
      </x:c>
      <x:c r="J23" s="33" t="str">
        <x:f>IF(A23="","","NOT_STARTED")</x:f>
      </x:c>
      <x:c r="K23" s="33" t="str">
        <x:f>IF(A23="","","NOT_STARTED")</x:f>
      </x:c>
      <x:c r="L23" s="33"/>
      <x:c r="M23" s="33"/>
      <x:c r="N23" s="33"/>
    </x:row>
    <x:row r="24" ht="15" hidden="0" customHeight="1">
      <x:c r="A24" s="33" t="str">
        <x:f>IF('01_Qualified Pool'!B24="","",'01_Qualified Pool'!B24)</x:f>
      </x:c>
      <x:c r="B24" s="33" t="str">
        <x:f>IF(A24="","",'01_Qualified Pool'!N24)</x:f>
      </x:c>
      <x:c r="C24" s="33"/>
      <x:c r="D24" s="33"/>
      <x:c r="E24" s="33"/>
      <x:c r="F24" s="33"/>
      <x:c r="G24" s="33"/>
      <x:c r="H24" s="33" t="str">
        <x:f>IF(A24="","",COUNTIF(C24:G24,"&lt;&gt;"))</x:f>
      </x:c>
      <x:c r="I24" s="33" t="str">
        <x:f>IF(A24="","","NOT_STARTED")</x:f>
      </x:c>
      <x:c r="J24" s="33" t="str">
        <x:f>IF(A24="","","NOT_STARTED")</x:f>
      </x:c>
      <x:c r="K24" s="33" t="str">
        <x:f>IF(A24="","","NOT_STARTED")</x:f>
      </x:c>
      <x:c r="L24" s="33"/>
      <x:c r="M24" s="33"/>
      <x:c r="N24" s="33"/>
    </x:row>
    <x:row r="25" ht="15" hidden="0" customHeight="1">
      <x:c r="A25" s="33" t="str">
        <x:f>IF('01_Qualified Pool'!B25="","",'01_Qualified Pool'!B25)</x:f>
      </x:c>
      <x:c r="B25" s="33" t="str">
        <x:f>IF(A25="","",'01_Qualified Pool'!N25)</x:f>
      </x:c>
      <x:c r="C25" s="33"/>
      <x:c r="D25" s="33"/>
      <x:c r="E25" s="33"/>
      <x:c r="F25" s="33"/>
      <x:c r="G25" s="33"/>
      <x:c r="H25" s="33" t="str">
        <x:f>IF(A25="","",COUNTIF(C25:G25,"&lt;&gt;"))</x:f>
      </x:c>
      <x:c r="I25" s="33" t="str">
        <x:f>IF(A25="","","NOT_STARTED")</x:f>
      </x:c>
      <x:c r="J25" s="33" t="str">
        <x:f>IF(A25="","","NOT_STARTED")</x:f>
      </x:c>
      <x:c r="K25" s="33" t="str">
        <x:f>IF(A25="","","NOT_STARTED")</x:f>
      </x:c>
      <x:c r="L25" s="33"/>
      <x:c r="M25" s="33"/>
      <x:c r="N25" s="33"/>
    </x:row>
    <x:row r="26" ht="15" hidden="0" customHeight="1">
      <x:c r="A26" s="33" t="str">
        <x:f>IF('01_Qualified Pool'!B26="","",'01_Qualified Pool'!B26)</x:f>
      </x:c>
      <x:c r="B26" s="33" t="str">
        <x:f>IF(A26="","",'01_Qualified Pool'!N26)</x:f>
      </x:c>
      <x:c r="C26" s="33"/>
      <x:c r="D26" s="33"/>
      <x:c r="E26" s="33"/>
      <x:c r="F26" s="33"/>
      <x:c r="G26" s="33"/>
      <x:c r="H26" s="33" t="str">
        <x:f>IF(A26="","",COUNTIF(C26:G26,"&lt;&gt;"))</x:f>
      </x:c>
      <x:c r="I26" s="33" t="str">
        <x:f>IF(A26="","","NOT_STARTED")</x:f>
      </x:c>
      <x:c r="J26" s="33" t="str">
        <x:f>IF(A26="","","NOT_STARTED")</x:f>
      </x:c>
      <x:c r="K26" s="33" t="str">
        <x:f>IF(A26="","","NOT_STARTED")</x:f>
      </x:c>
      <x:c r="L26" s="33"/>
      <x:c r="M26" s="33"/>
      <x:c r="N26" s="33"/>
    </x:row>
    <x:row r="27" ht="15" hidden="0" customHeight="1">
      <x:c r="A27" s="33" t="str">
        <x:f>IF('01_Qualified Pool'!B27="","",'01_Qualified Pool'!B27)</x:f>
      </x:c>
      <x:c r="B27" s="33" t="str">
        <x:f>IF(A27="","",'01_Qualified Pool'!N27)</x:f>
      </x:c>
      <x:c r="C27" s="33"/>
      <x:c r="D27" s="33"/>
      <x:c r="E27" s="33"/>
      <x:c r="F27" s="33"/>
      <x:c r="G27" s="33"/>
      <x:c r="H27" s="33" t="str">
        <x:f>IF(A27="","",COUNTIF(C27:G27,"&lt;&gt;"))</x:f>
      </x:c>
      <x:c r="I27" s="33" t="str">
        <x:f>IF(A27="","","NOT_STARTED")</x:f>
      </x:c>
      <x:c r="J27" s="33" t="str">
        <x:f>IF(A27="","","NOT_STARTED")</x:f>
      </x:c>
      <x:c r="K27" s="33" t="str">
        <x:f>IF(A27="","","NOT_STARTED")</x:f>
      </x:c>
      <x:c r="L27" s="33"/>
      <x:c r="M27" s="33"/>
      <x:c r="N27" s="33"/>
    </x:row>
    <x:row r="28" ht="15" hidden="0" customHeight="1">
      <x:c r="A28" s="33" t="str">
        <x:f>IF('01_Qualified Pool'!B28="","",'01_Qualified Pool'!B28)</x:f>
      </x:c>
      <x:c r="B28" s="33" t="str">
        <x:f>IF(A28="","",'01_Qualified Pool'!N28)</x:f>
      </x:c>
      <x:c r="C28" s="33"/>
      <x:c r="D28" s="33"/>
      <x:c r="E28" s="33"/>
      <x:c r="F28" s="33"/>
      <x:c r="G28" s="33"/>
      <x:c r="H28" s="33" t="str">
        <x:f>IF(A28="","",COUNTIF(C28:G28,"&lt;&gt;"))</x:f>
      </x:c>
      <x:c r="I28" s="33" t="str">
        <x:f>IF(A28="","","NOT_STARTED")</x:f>
      </x:c>
      <x:c r="J28" s="33" t="str">
        <x:f>IF(A28="","","NOT_STARTED")</x:f>
      </x:c>
      <x:c r="K28" s="33" t="str">
        <x:f>IF(A28="","","NOT_STARTED")</x:f>
      </x:c>
      <x:c r="L28" s="33"/>
      <x:c r="M28" s="33"/>
      <x:c r="N28" s="33"/>
    </x:row>
    <x:row r="29" ht="15" hidden="0" customHeight="1">
      <x:c r="A29" s="33" t="str">
        <x:f>IF('01_Qualified Pool'!B29="","",'01_Qualified Pool'!B29)</x:f>
      </x:c>
      <x:c r="B29" s="33" t="str">
        <x:f>IF(A29="","",'01_Qualified Pool'!N29)</x:f>
      </x:c>
      <x:c r="C29" s="33"/>
      <x:c r="D29" s="33"/>
      <x:c r="E29" s="33"/>
      <x:c r="F29" s="33"/>
      <x:c r="G29" s="33"/>
      <x:c r="H29" s="33" t="str">
        <x:f>IF(A29="","",COUNTIF(C29:G29,"&lt;&gt;"))</x:f>
      </x:c>
      <x:c r="I29" s="33" t="str">
        <x:f>IF(A29="","","NOT_STARTED")</x:f>
      </x:c>
      <x:c r="J29" s="33" t="str">
        <x:f>IF(A29="","","NOT_STARTED")</x:f>
      </x:c>
      <x:c r="K29" s="33" t="str">
        <x:f>IF(A29="","","NOT_STARTED")</x:f>
      </x:c>
      <x:c r="L29" s="33"/>
      <x:c r="M29" s="33"/>
      <x:c r="N29" s="33"/>
    </x:row>
    <x:row r="30" ht="15" hidden="0" customHeight="1">
      <x:c r="A30" s="33" t="str">
        <x:f>IF('01_Qualified Pool'!B30="","",'01_Qualified Pool'!B30)</x:f>
      </x:c>
      <x:c r="B30" s="33" t="str">
        <x:f>IF(A30="","",'01_Qualified Pool'!N30)</x:f>
      </x:c>
      <x:c r="C30" s="33"/>
      <x:c r="D30" s="33"/>
      <x:c r="E30" s="33"/>
      <x:c r="F30" s="33"/>
      <x:c r="G30" s="33"/>
      <x:c r="H30" s="33" t="str">
        <x:f>IF(A30="","",COUNTIF(C30:G30,"&lt;&gt;"))</x:f>
      </x:c>
      <x:c r="I30" s="33" t="str">
        <x:f>IF(A30="","","NOT_STARTED")</x:f>
      </x:c>
      <x:c r="J30" s="33" t="str">
        <x:f>IF(A30="","","NOT_STARTED")</x:f>
      </x:c>
      <x:c r="K30" s="33" t="str">
        <x:f>IF(A30="","","NOT_STARTED")</x:f>
      </x:c>
      <x:c r="L30" s="33"/>
      <x:c r="M30" s="33"/>
      <x:c r="N30" s="33"/>
    </x:row>
    <x:row r="31" ht="15" hidden="0" customHeight="1">
      <x:c r="A31" s="33" t="str">
        <x:f>IF('01_Qualified Pool'!B31="","",'01_Qualified Pool'!B31)</x:f>
      </x:c>
      <x:c r="B31" s="33" t="str">
        <x:f>IF(A31="","",'01_Qualified Pool'!N31)</x:f>
      </x:c>
      <x:c r="C31" s="33"/>
      <x:c r="D31" s="33"/>
      <x:c r="E31" s="33"/>
      <x:c r="F31" s="33"/>
      <x:c r="G31" s="33"/>
      <x:c r="H31" s="33" t="str">
        <x:f>IF(A31="","",COUNTIF(C31:G31,"&lt;&gt;"))</x:f>
      </x:c>
      <x:c r="I31" s="33" t="str">
        <x:f>IF(A31="","","NOT_STARTED")</x:f>
      </x:c>
      <x:c r="J31" s="33" t="str">
        <x:f>IF(A31="","","NOT_STARTED")</x:f>
      </x:c>
      <x:c r="K31" s="33" t="str">
        <x:f>IF(A31="","","NOT_STARTED")</x:f>
      </x:c>
      <x:c r="L31" s="33"/>
      <x:c r="M31" s="33"/>
      <x:c r="N31" s="33"/>
    </x:row>
    <x:row r="32" ht="15" hidden="0" customHeight="1">
      <x:c r="A32" s="33" t="str">
        <x:f>IF('01_Qualified Pool'!B32="","",'01_Qualified Pool'!B32)</x:f>
      </x:c>
      <x:c r="B32" s="33" t="str">
        <x:f>IF(A32="","",'01_Qualified Pool'!N32)</x:f>
      </x:c>
      <x:c r="C32" s="33"/>
      <x:c r="D32" s="33"/>
      <x:c r="E32" s="33"/>
      <x:c r="F32" s="33"/>
      <x:c r="G32" s="33"/>
      <x:c r="H32" s="33" t="str">
        <x:f>IF(A32="","",COUNTIF(C32:G32,"&lt;&gt;"))</x:f>
      </x:c>
      <x:c r="I32" s="33" t="str">
        <x:f>IF(A32="","","NOT_STARTED")</x:f>
      </x:c>
      <x:c r="J32" s="33" t="str">
        <x:f>IF(A32="","","NOT_STARTED")</x:f>
      </x:c>
      <x:c r="K32" s="33" t="str">
        <x:f>IF(A32="","","NOT_STARTED")</x:f>
      </x:c>
      <x:c r="L32" s="33"/>
      <x:c r="M32" s="33"/>
      <x:c r="N32" s="33"/>
    </x:row>
    <x:row r="33" ht="24" hidden="0" customHeight="1">
      <x:c r="A33" s="33" t="str">
        <x:f>IF('01_Qualified Pool'!B33="","",'01_Qualified Pool'!B33)</x:f>
      </x:c>
      <x:c r="B33" s="33" t="str">
        <x:f>IF(A33="","",'01_Qualified Pool'!N33)</x:f>
      </x:c>
      <x:c r="C33" s="33"/>
      <x:c r="D33" s="33"/>
      <x:c r="E33" s="33"/>
      <x:c r="F33" s="33"/>
      <x:c r="G33" s="33"/>
      <x:c r="H33" s="33" t="str">
        <x:f>IF(A33="","",COUNTIF(C33:G33,"&lt;&gt;"))</x:f>
      </x:c>
      <x:c r="I33" s="33" t="str">
        <x:f>IF(A33="","","NOT_STARTED")</x:f>
      </x:c>
      <x:c r="J33" s="33" t="str">
        <x:f>IF(A33="","","NOT_STARTED")</x:f>
      </x:c>
      <x:c r="K33" s="33" t="str">
        <x:f>IF(A33="","","NOT_STARTED")</x:f>
      </x:c>
      <x:c r="L33" s="33"/>
      <x:c r="M33" s="33"/>
      <x:c r="N33" s="33"/>
    </x:row>
    <x:row r="34" ht="15" hidden="0" customHeight="1">
      <x:c r="A34" s="33" t="str">
        <x:f>IF('01_Qualified Pool'!B34="","",'01_Qualified Pool'!B34)</x:f>
      </x:c>
      <x:c r="B34" s="33" t="str">
        <x:f>IF(A34="","",'01_Qualified Pool'!N34)</x:f>
      </x:c>
      <x:c r="C34" s="33"/>
      <x:c r="D34" s="33"/>
      <x:c r="E34" s="33"/>
      <x:c r="F34" s="33"/>
      <x:c r="G34" s="33"/>
      <x:c r="H34" s="33" t="str">
        <x:f>IF(A34="","",COUNTIF(C34:G34,"&lt;&gt;"))</x:f>
      </x:c>
      <x:c r="I34" s="33" t="str">
        <x:f>IF(A34="","","NOT_STARTED")</x:f>
      </x:c>
      <x:c r="J34" s="33" t="str">
        <x:f>IF(A34="","","NOT_STARTED")</x:f>
      </x:c>
      <x:c r="K34" s="33" t="str">
        <x:f>IF(A34="","","NOT_STARTED")</x:f>
      </x:c>
      <x:c r="L34" s="33"/>
      <x:c r="M34" s="33"/>
      <x:c r="N34" s="33"/>
    </x:row>
  </x:sheetData>
  <x:mergeCells>
    <x:mergeCell ref="A1:N1"/>
    <x:mergeCell ref="A3:N3"/>
  </x:mergeCells>
  <x:conditionalFormatting sqref="H5:H34">
    <x:cfRule type="dataBar" priority="1">
      <x:dataBar>
        <x:cfvo type="min"/>
        <x:cfvo type="max"/>
        <x:color rgb="FF198754"/>
      </x:dataBar>
      <x:extLst>
        <x:ext xmlns:x14="http://schemas.microsoft.com/office/spreadsheetml/2009/9/main" uri="{B025F937-C7B1-47D3-B67F-A62EFF666E3E}">
          <x14:id>{36E5F8E6-6740-D8F9-BF51-B803ED8E251A}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d88ecad11904c3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6E5F8E6-6740-D8F9-BF51-B803ED8E251A}">
            <x14:dataBar gradient="1">
              <x14:cfvo type="min"/>
              <x14:cfvo type="max"/>
              <x14:fillColor rgb="FF198754"/>
            </x14:dataBar>
          </x14:cfRule>
          <xm:sqref>H5:H34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60" hidden="0" customWidth="1"/>
    <x:col min="4" max="4" width="34" hidden="0" customWidth="1"/>
    <x:col min="5" max="5" width="20" hidden="0" customWidth="1"/>
    <x:col min="6" max="6" width="34" hidden="0" customWidth="1"/>
  </x:cols>
  <x:sheetData>
    <x:row r="1" ht="15" hidden="0" customHeight="1">
      <x:c r="A1" s="38" t="str">
        <x:v>Rejected / Mismatch｜保留失敗證據，禁止回流</x:v>
      </x:c>
      <x:c r="B1" s="38"/>
      <x:c r="C1" s="38"/>
      <x:c r="D1" s="38"/>
      <x:c r="E1" s="38"/>
      <x:c r="F1" s="38"/>
    </x:row>
    <x:row r="2" ht="15" hidden="0" customHeight="1">
      <x:c r="A2" s="33"/>
      <x:c r="B2" s="33"/>
      <x:c r="C2" s="33"/>
      <x:c r="D2" s="33"/>
      <x:c r="E2" s="33"/>
      <x:c r="F2" s="33"/>
    </x:row>
    <x:row r="3" ht="15" hidden="0" customHeight="1">
      <x:c r="A3" s="35" t="str">
        <x:v>V14錯誤：聯絡資訊較完整的人被誤當高價值人選。V15把教授、經理、負責人、薪資明顯錯配與同名誤認分開淘汰。</x:v>
      </x:c>
      <x:c r="B3" s="35"/>
      <x:c r="C3" s="35"/>
      <x:c r="D3" s="35"/>
      <x:c r="E3" s="35"/>
      <x:c r="F3" s="35"/>
    </x:row>
    <x:row r="4" ht="34" hidden="0" customHeight="1">
      <x:c r="A4" s="39" t="str">
        <x:v>姓名/線索</x:v>
      </x:c>
      <x:c r="B4" s="39" t="str">
        <x:v>角色</x:v>
      </x:c>
      <x:c r="C4" s="39" t="str">
        <x:v>淘汰原因</x:v>
      </x:c>
      <x:c r="D4" s="39" t="str">
        <x:v>狀態</x:v>
      </x:c>
      <x:c r="E4" s="39" t="str">
        <x:v>是否有聯絡資訊</x:v>
      </x:c>
      <x:c r="F4" s="39" t="str">
        <x:v>規則</x:v>
      </x:c>
    </x:row>
    <x:row r="5" ht="15" hidden="0" customHeight="1">
      <x:c r="A5" s="33"/>
      <x:c r="B5" s="33"/>
      <x:c r="C5" s="33"/>
      <x:c r="D5" s="33"/>
      <x:c r="E5" s="33"/>
      <x:c r="F5" s="33"/>
    </x:row>
    <x:row r="6" ht="15" hidden="0" customHeight="1">
      <x:c r="A6" s="33"/>
      <x:c r="B6" s="33"/>
      <x:c r="C6" s="33"/>
      <x:c r="D6" s="33"/>
      <x:c r="E6" s="33"/>
      <x:c r="F6" s="33"/>
    </x:row>
    <x:row r="7" ht="15" hidden="0" customHeight="1">
      <x:c r="A7" s="33"/>
      <x:c r="B7" s="33"/>
      <x:c r="C7" s="33"/>
      <x:c r="D7" s="33"/>
      <x:c r="E7" s="33"/>
      <x:c r="F7" s="33"/>
    </x:row>
    <x:row r="8" ht="15" hidden="0" customHeight="1">
      <x:c r="A8" s="33"/>
      <x:c r="B8" s="33"/>
      <x:c r="C8" s="33"/>
      <x:c r="D8" s="33"/>
      <x:c r="E8" s="33"/>
      <x:c r="F8" s="33"/>
    </x:row>
    <x:row r="9" ht="15" hidden="0" customHeight="1">
      <x:c r="A9" s="33"/>
      <x:c r="B9" s="33"/>
      <x:c r="C9" s="33"/>
      <x:c r="D9" s="33"/>
      <x:c r="E9" s="33"/>
      <x:c r="F9" s="33"/>
    </x:row>
    <x:row r="10" ht="15" hidden="0" customHeight="1">
      <x:c r="A10" s="33"/>
      <x:c r="B10" s="33"/>
      <x:c r="C10" s="33"/>
      <x:c r="D10" s="33"/>
      <x:c r="E10" s="33"/>
      <x:c r="F10" s="33"/>
    </x:row>
    <x:row r="11" ht="15" hidden="0" customHeight="1">
      <x:c r="A11" s="33"/>
      <x:c r="B11" s="33"/>
      <x:c r="C11" s="33"/>
      <x:c r="D11" s="33"/>
      <x:c r="E11" s="33"/>
      <x:c r="F11" s="33"/>
    </x:row>
    <x:row r="12" ht="15" hidden="0" customHeight="1">
      <x:c r="A12" s="33"/>
      <x:c r="B12" s="33"/>
      <x:c r="C12" s="33"/>
      <x:c r="D12" s="33"/>
      <x:c r="E12" s="33"/>
      <x:c r="F12" s="33"/>
    </x:row>
    <x:row r="13" ht="15" hidden="0" customHeight="1">
      <x:c r="A13" s="33"/>
      <x:c r="B13" s="33"/>
      <x:c r="C13" s="33"/>
      <x:c r="D13" s="33"/>
      <x:c r="E13" s="33"/>
      <x:c r="F13" s="33"/>
    </x:row>
    <x:row r="14" ht="15" hidden="0" customHeight="1">
      <x:c r="A14" s="33"/>
      <x:c r="B14" s="33"/>
      <x:c r="C14" s="33"/>
      <x:c r="D14" s="33"/>
      <x:c r="E14" s="33"/>
      <x:c r="F14" s="33"/>
    </x:row>
    <x:row r="15" ht="15" hidden="0" customHeight="1">
      <x:c r="A15" s="33"/>
      <x:c r="B15" s="33"/>
      <x:c r="C15" s="33"/>
      <x:c r="D15" s="33"/>
      <x:c r="E15" s="33"/>
      <x:c r="F15" s="33"/>
    </x:row>
    <x:row r="16" ht="15" hidden="0" customHeight="1">
      <x:c r="A16" s="33"/>
      <x:c r="B16" s="33"/>
      <x:c r="C16" s="33"/>
      <x:c r="D16" s="33"/>
      <x:c r="E16" s="33"/>
      <x:c r="F16" s="33"/>
    </x:row>
    <x:row r="17" ht="15" hidden="0" customHeight="1">
      <x:c r="A17" s="33"/>
      <x:c r="B17" s="33"/>
      <x:c r="C17" s="33"/>
      <x:c r="D17" s="33"/>
      <x:c r="E17" s="33"/>
      <x:c r="F17" s="33"/>
    </x:row>
    <x:row r="18" ht="15" hidden="0" customHeight="1">
      <x:c r="A18" s="33"/>
      <x:c r="B18" s="33"/>
      <x:c r="C18" s="33"/>
      <x:c r="D18" s="33"/>
      <x:c r="E18" s="33"/>
      <x:c r="F18" s="33"/>
    </x:row>
  </x:sheetData>
  <x:mergeCells>
    <x:mergeCell ref="A1:F1"/>
    <x:mergeCell ref="A3:F3"/>
  </x:mergeCells>
  <x:pageMargins left="0.7" right="0.7" top="0.75" bottom="0.75" header="0.3" footer="0.3"/>
  <x:tableParts count="1">
    <x:tablePart xmlns:r="http://schemas.openxmlformats.org/officeDocument/2006/relationships" r:id="Rf66147b18349434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24" hidden="0" customWidth="1"/>
    <x:col min="4" max="4" width="48" hidden="0" customWidth="1"/>
    <x:col min="5" max="5" width="40" hidden="0" customWidth="1"/>
    <x:col min="6" max="6" width="55" hidden="0" customWidth="1"/>
    <x:col min="7" max="7" width="55" hidden="0" customWidth="1"/>
    <x:col min="8" max="8" width="16" hidden="0" customWidth="1"/>
  </x:cols>
  <x:sheetData>
    <x:row r="1" ht="15" hidden="0" customHeight="1">
      <x:c r="A1" s="38" t="str">
        <x:v>Run Log｜實測細節與判斷紀錄</x:v>
      </x:c>
      <x:c r="B1" s="38"/>
      <x:c r="C1" s="38"/>
      <x:c r="D1" s="38"/>
      <x:c r="E1" s="38"/>
      <x:c r="F1" s="38"/>
      <x:c r="G1" s="38"/>
      <x:c r="H1" s="38"/>
    </x:row>
    <x:row r="2" ht="15" hidden="0" customHeight="1">
      <x:c r="A2" s="33"/>
      <x:c r="B2" s="33"/>
      <x:c r="C2" s="33"/>
      <x:c r="D2" s="33"/>
      <x:c r="E2" s="33"/>
      <x:c r="F2" s="33"/>
      <x:c r="G2" s="33"/>
      <x:c r="H2" s="33"/>
    </x:row>
    <x:row r="3" ht="34" hidden="0" customHeight="1">
      <x:c r="A3" s="39" t="str">
        <x:v>日期</x:v>
      </x:c>
      <x:c r="B3" s="39" t="str">
        <x:v>版本</x:v>
      </x:c>
      <x:c r="C3" s="39" t="str">
        <x:v>階段</x:v>
      </x:c>
      <x:c r="D3" s="39" t="str">
        <x:v>輸入/查詢</x:v>
      </x:c>
      <x:c r="E3" s="39" t="str">
        <x:v>輸出</x:v>
      </x:c>
      <x:c r="F3" s="39" t="str">
        <x:v>問題</x:v>
      </x:c>
      <x:c r="G3" s="39" t="str">
        <x:v>決策</x:v>
      </x:c>
      <x:c r="H3" s="39" t="str">
        <x:v>狀態</x:v>
      </x:c>
    </x:row>
    <x:row r="4" ht="15" hidden="0" customHeight="1">
      <x:c r="A4" s="33"/>
      <x:c r="B4" s="33" t="str">
        <x:v>NEW_RUN</x:v>
      </x:c>
      <x:c r="C4" s="33" t="str">
        <x:v>Start</x:v>
      </x:c>
      <x:c r="D4" s="33" t="str">
        <x:v>貼入JD或JD URL</x:v>
      </x:c>
      <x:c r="E4" s="33" t="str">
        <x:v>等待Job Route</x:v>
      </x:c>
      <x:c r="F4" s="33" t="str">
        <x:v>尚未分配Primary Ecosystem</x:v>
      </x:c>
      <x:c r="G4" s="33" t="str">
        <x:v>先完成Talent DNA與Router</x:v>
      </x:c>
      <x:c r="H4" s="33" t="str">
        <x:v>NOT_STARTED</x:v>
      </x:c>
    </x:row>
    <x:row r="5" ht="15" hidden="0" customHeight="1">
      <x:c r="A5" s="33"/>
      <x:c r="B5" s="33"/>
      <x:c r="C5" s="33"/>
      <x:c r="D5" s="33"/>
      <x:c r="E5" s="33"/>
      <x:c r="F5" s="33"/>
      <x:c r="G5" s="33"/>
      <x:c r="H5" s="33"/>
    </x:row>
    <x:row r="6" ht="15" hidden="0" customHeight="1">
      <x:c r="A6" s="33"/>
      <x:c r="B6" s="33"/>
      <x:c r="C6" s="33"/>
      <x:c r="D6" s="33"/>
      <x:c r="E6" s="33"/>
      <x:c r="F6" s="33"/>
      <x:c r="G6" s="33"/>
      <x:c r="H6" s="33"/>
    </x:row>
    <x:row r="7" ht="15" hidden="0" customHeight="1">
      <x:c r="A7" s="33"/>
      <x:c r="B7" s="33"/>
      <x:c r="C7" s="33"/>
      <x:c r="D7" s="33"/>
      <x:c r="E7" s="33"/>
      <x:c r="F7" s="33"/>
      <x:c r="G7" s="33"/>
      <x:c r="H7" s="33"/>
    </x:row>
    <x:row r="8" ht="15" hidden="0" customHeight="1">
      <x:c r="A8" s="33"/>
      <x:c r="B8" s="33"/>
      <x:c r="C8" s="33"/>
      <x:c r="D8" s="33"/>
      <x:c r="E8" s="33"/>
      <x:c r="F8" s="33"/>
      <x:c r="G8" s="33"/>
      <x:c r="H8" s="33"/>
    </x:row>
    <x:row r="9" ht="15" hidden="0" customHeight="1">
      <x:c r="A9" s="33"/>
      <x:c r="B9" s="33"/>
      <x:c r="C9" s="33"/>
      <x:c r="D9" s="33"/>
      <x:c r="E9" s="33"/>
      <x:c r="F9" s="33"/>
      <x:c r="G9" s="33"/>
      <x:c r="H9" s="33"/>
    </x:row>
    <x:row r="10" ht="15" hidden="0" customHeight="1">
      <x:c r="A10" s="33"/>
      <x:c r="B10" s="33"/>
      <x:c r="C10" s="33"/>
      <x:c r="D10" s="33"/>
      <x:c r="E10" s="33"/>
      <x:c r="F10" s="33"/>
      <x:c r="G10" s="33"/>
      <x:c r="H10" s="33"/>
    </x:row>
    <x:row r="11" ht="15" hidden="0" customHeight="1">
      <x:c r="A11" s="33"/>
      <x:c r="B11" s="33"/>
      <x:c r="C11" s="33"/>
      <x:c r="D11" s="33"/>
      <x:c r="E11" s="33"/>
      <x:c r="F11" s="33"/>
      <x:c r="G11" s="33"/>
      <x:c r="H11" s="33"/>
    </x:row>
    <x:row r="12" ht="15" hidden="0" customHeight="1">
      <x:c r="A12" s="33"/>
      <x:c r="B12" s="33"/>
      <x:c r="C12" s="33"/>
      <x:c r="D12" s="33"/>
      <x:c r="E12" s="33"/>
      <x:c r="F12" s="33"/>
      <x:c r="G12" s="33"/>
      <x:c r="H12" s="33"/>
    </x:row>
    <x:row r="13" ht="15" hidden="0" customHeight="1">
      <x:c r="A13" s="33"/>
      <x:c r="B13" s="33"/>
      <x:c r="C13" s="33"/>
      <x:c r="D13" s="33"/>
      <x:c r="E13" s="33"/>
      <x:c r="F13" s="33"/>
      <x:c r="G13" s="33"/>
      <x:c r="H13" s="33"/>
    </x:row>
    <x:row r="14" ht="15" hidden="0" customHeight="1">
      <x:c r="A14" s="33"/>
      <x:c r="B14" s="33"/>
      <x:c r="C14" s="33"/>
      <x:c r="D14" s="33"/>
      <x:c r="E14" s="33"/>
      <x:c r="F14" s="33"/>
      <x:c r="G14" s="33"/>
      <x:c r="H14" s="33"/>
    </x:row>
    <x:row r="15" ht="15" hidden="0" customHeight="1">
      <x:c r="A15" s="33"/>
      <x:c r="B15" s="33"/>
      <x:c r="C15" s="33"/>
      <x:c r="D15" s="33"/>
      <x:c r="E15" s="33"/>
      <x:c r="F15" s="33"/>
      <x:c r="G15" s="33"/>
      <x:c r="H15" s="33"/>
    </x:row>
    <x:row r="16" ht="15" hidden="0" customHeight="1">
      <x:c r="A16" s="33"/>
      <x:c r="B16" s="33"/>
      <x:c r="C16" s="33"/>
      <x:c r="D16" s="33"/>
      <x:c r="E16" s="33"/>
      <x:c r="F16" s="33"/>
      <x:c r="G16" s="33"/>
      <x:c r="H16" s="33"/>
    </x:row>
    <x:row r="17" ht="24" hidden="0" customHeight="1">
      <x:c r="A17" s="33"/>
      <x:c r="B17" s="33"/>
      <x:c r="C17" s="33"/>
      <x:c r="D17" s="33"/>
      <x:c r="E17" s="33"/>
      <x:c r="F17" s="33"/>
      <x:c r="G17" s="33"/>
      <x:c r="H17" s="33"/>
    </x:row>
    <x:row r="18" ht="15" hidden="0" customHeight="1">
      <x:c r="A18" s="33"/>
      <x:c r="B18" s="33"/>
      <x:c r="C18" s="33"/>
      <x:c r="D18" s="33"/>
      <x:c r="E18" s="33"/>
      <x:c r="F18" s="33"/>
      <x:c r="G18" s="33"/>
      <x:c r="H18" s="33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/>
      <x:c r="B31"/>
      <x:c r="C31"/>
      <x:c r="D31"/>
      <x:c r="E31"/>
      <x:c r="F31"/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  <x:row r="34">
      <x:c r="A34"/>
      <x:c r="B34"/>
      <x:c r="C34"/>
      <x:c r="D34"/>
      <x:c r="E34"/>
      <x:c r="F34"/>
      <x:c r="G34"/>
      <x:c r="H34"/>
    </x:row>
    <x:row r="35">
      <x:c r="A35"/>
      <x:c r="B35"/>
      <x:c r="C35"/>
      <x:c r="D35"/>
      <x:c r="E35"/>
      <x:c r="F35"/>
      <x:c r="G35"/>
      <x:c r="H35"/>
    </x:row>
    <x:row r="36">
      <x:c r="A36"/>
      <x:c r="B36"/>
      <x:c r="C36"/>
      <x:c r="D36"/>
      <x:c r="E36"/>
      <x:c r="F36"/>
      <x:c r="G36"/>
      <x:c r="H36"/>
    </x:row>
    <x:row r="37">
      <x:c r="A37"/>
      <x:c r="B37"/>
      <x:c r="C37"/>
      <x:c r="D37"/>
      <x:c r="E37"/>
      <x:c r="F37"/>
      <x:c r="G37"/>
      <x:c r="H37"/>
    </x:row>
    <x:row r="38">
      <x:c r="A38"/>
      <x:c r="B38"/>
      <x:c r="C38"/>
      <x:c r="D38"/>
      <x:c r="E38"/>
      <x:c r="F38"/>
      <x:c r="G38"/>
      <x:c r="H38"/>
    </x:row>
    <x:row r="39">
      <x:c r="A39"/>
      <x:c r="B39"/>
      <x:c r="C39"/>
      <x:c r="D39"/>
      <x:c r="E39"/>
      <x:c r="F39"/>
      <x:c r="G39"/>
      <x:c r="H39"/>
    </x:row>
    <x:row r="40">
      <x:c r="A40"/>
      <x:c r="B40"/>
      <x:c r="C40"/>
      <x:c r="D40"/>
      <x:c r="E40"/>
      <x:c r="F40"/>
      <x:c r="G40"/>
      <x:c r="H40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796ba8d1299429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62" hidden="0" customWidth="1"/>
    <x:col min="4" max="4" width="52" hidden="0" customWidth="1"/>
  </x:cols>
  <x:sheetData>
    <x:row r="1" ht="15" hidden="0" customHeight="1">
      <x:c r="A1" s="38" t="str">
        <x:v>Talent DNA｜Reusable JD Gate</x:v>
      </x:c>
      <x:c r="B1" s="38" t="str">
        <x:v>Talent DNA｜Reusable JD Gate</x:v>
      </x:c>
      <x:c r="C1" s="38" t="str">
        <x:v>Talent DNA｜Reusable JD Gate</x:v>
      </x:c>
      <x:c r="D1" s="38" t="str">
        <x:v>Talent DNA｜Reusable JD Gate</x:v>
      </x:c>
    </x:row>
    <x:row r="2" ht="15" hidden="0" customHeight="1">
      <x:c r="A2" s="33"/>
      <x:c r="B2" s="33"/>
      <x:c r="C2" s="33"/>
      <x:c r="D2" s="33"/>
    </x:row>
    <x:row r="3" ht="34" hidden="0" customHeight="1">
      <x:c r="A3" s="39" t="str">
        <x:v>層級</x:v>
      </x:c>
      <x:c r="B3" s="39" t="str">
        <x:v>條件</x:v>
      </x:c>
      <x:c r="C3" s="39" t="str">
        <x:v>Gate規則</x:v>
      </x:c>
      <x:c r="D3" s="39" t="str">
        <x:v>證據要求</x:v>
      </x:c>
    </x:row>
    <x:row r="4" ht="15" hidden="0" customHeight="1">
      <x:c r="A4" s="33" t="str">
        <x:v>Route</x:v>
      </x:c>
      <x:c r="B4" s="33" t="str">
        <x:v>PRIMARY_ECOSYSTEM</x:v>
      </x:c>
      <x:c r="C4" s="33" t="str">
        <x:v>TO_ASSIGN</x:v>
      </x:c>
      <x:c r="D4" s="33" t="str">
        <x:v>讀取13_Router Matrix後填寫</x:v>
      </x:c>
    </x:row>
    <x:row r="5" ht="15" hidden="0" customHeight="1">
      <x:c r="A5" s="33" t="str">
        <x:v>Route</x:v>
      </x:c>
      <x:c r="B5" s="33" t="str">
        <x:v>SECONDARY_ECOSYSTEM</x:v>
      </x:c>
      <x:c r="C5" s="33" t="str">
        <x:v>NONE_OR_ASSIGN</x:v>
      </x:c>
      <x:c r="D5" s="33" t="str">
        <x:v>能力證據≥30%屬次生態才使用</x:v>
      </x:c>
    </x:row>
    <x:row r="6" ht="15" hidden="0" customHeight="1">
      <x:c r="A6" s="33" t="str">
        <x:v>Hard</x:v>
      </x:c>
      <x:c r="B6" s="33" t="str">
        <x:v>必要技能</x:v>
      </x:c>
      <x:c r="C6" s="33" t="str">
        <x:v>TO_FILL</x:v>
      </x:c>
      <x:c r="D6" s="33" t="str">
        <x:v>JD原文或官方來源</x:v>
      </x:c>
    </x:row>
    <x:row r="7" ht="15" hidden="0" customHeight="1">
      <x:c r="A7" s="33" t="str">
        <x:v>Hard</x:v>
      </x:c>
      <x:c r="B7" s="33" t="str">
        <x:v>職級/年資</x:v>
      </x:c>
      <x:c r="C7" s="33" t="str">
        <x:v>TO_FILL</x:v>
      </x:c>
      <x:c r="D7" s="33" t="str">
        <x:v>Title＋近期職涯證據</x:v>
      </x:c>
    </x:row>
    <x:row r="8" ht="15" hidden="0" customHeight="1">
      <x:c r="A8" s="33" t="str">
        <x:v>Hard</x:v>
      </x:c>
      <x:c r="B8" s="33" t="str">
        <x:v>地點/工作模式</x:v>
      </x:c>
      <x:c r="C8" s="33" t="str">
        <x:v>TO_FILL</x:v>
      </x:c>
      <x:c r="D8" s="33" t="str">
        <x:v>到班、遠端、派駐或搬遷確認</x:v>
      </x:c>
    </x:row>
    <x:row r="9" ht="15" hidden="0" customHeight="1">
      <x:c r="A9" s="33" t="str">
        <x:v>Hard</x:v>
      </x:c>
      <x:c r="B9" s="33" t="str">
        <x:v>學歷/證照/執照</x:v>
      </x:c>
      <x:c r="C9" s="33" t="str">
        <x:v>TO_FILL</x:v>
      </x:c>
      <x:c r="D9" s="33" t="str">
        <x:v>官方或可驗證公開證據</x:v>
      </x:c>
    </x:row>
    <x:row r="10" ht="15" hidden="0" customHeight="1">
      <x:c r="A10" s="33" t="str">
        <x:v>Hard</x:v>
      </x:c>
      <x:c r="B10" s="33" t="str">
        <x:v>語言/工作權</x:v>
      </x:c>
      <x:c r="C10" s="33" t="str">
        <x:v>TO_FILL</x:v>
      </x:c>
      <x:c r="D10" s="33" t="str">
        <x:v>不得從姓名或國籍推定</x:v>
      </x:c>
    </x:row>
    <x:row r="11" ht="15" hidden="0" customHeight="1">
      <x:c r="A11" s="33" t="str">
        <x:v>Hard</x:v>
      </x:c>
      <x:c r="B11" s="33" t="str">
        <x:v>JD特殊條件</x:v>
      </x:c>
      <x:c r="C11" s="33" t="str">
        <x:v>TO_FILL</x:v>
      </x:c>
      <x:c r="D11" s="33" t="str">
        <x:v>駕照、輪班、設備、保密等</x:v>
      </x:c>
    </x:row>
    <x:row r="12" ht="15" hidden="0" customHeight="1">
      <x:c r="A12" s="33" t="str">
        <x:v>Substitute</x:v>
      </x:c>
      <x:c r="B12" s="33" t="str">
        <x:v>可替代條件</x:v>
      </x:c>
      <x:c r="C12" s="33" t="str">
        <x:v>TO_FILL</x:v>
      </x:c>
      <x:c r="D12" s="33" t="str">
        <x:v>相鄰技能、產業、工具與可培訓項</x:v>
      </x:c>
    </x:row>
    <x:row r="13" ht="15" hidden="0" customHeight="1">
      <x:c r="A13" s="33" t="str">
        <x:v>Risk</x:v>
      </x:c>
      <x:c r="B13" s="33" t="str">
        <x:v>薪資/職級錯配</x:v>
      </x:c>
      <x:c r="C13" s="33" t="str">
        <x:v>TO_FILL</x:v>
      </x:c>
      <x:c r="D13" s="33" t="str">
        <x:v>期待薪資與市場層級</x:v>
      </x:c>
    </x:row>
    <x:row r="14">
      <x:c r="A14" t="str">
        <x:v>Exclude</x:v>
      </x:c>
      <x:c r="B14" t="str">
        <x:v>不能接受的條件</x:v>
      </x:c>
      <x:c r="C14" t="str">
        <x:v>TO_FILL</x:v>
      </x:c>
      <x:c r="D14" t="str">
        <x:v>明確列入Qualified Gate</x:v>
      </x:c>
    </x:row>
    <x:row r="15">
      <x:c r="A15" t="str">
        <x:v>Contact</x:v>
      </x:c>
      <x:c r="B15" t="str">
        <x:v>Route-specific Waterfall</x:v>
      </x:c>
      <x:c r="C15" t="str">
        <x:v>TO_FILL</x:v>
      </x:c>
      <x:c r="D15" t="str">
        <x:v>本人Email＞電話＞社群；依路由調整來源</x:v>
      </x:c>
    </x:row>
    <x:row r="16">
      <x:c r="A16" t="str">
        <x:v>Stop</x:v>
      </x:c>
      <x:c r="B16" t="str">
        <x:v>停止/重啟條件</x:v>
      </x:c>
      <x:c r="C16" t="str">
        <x:v>TO_FILL</x:v>
      </x:c>
      <x:c r="D16" t="str">
        <x:v>新公司、作品、活動、帳號或專案錨點</x:v>
      </x:c>
    </x:row>
    <x:row r="17">
      <x:c r="A17"/>
      <x:c r="B17"/>
      <x:c r="C17"/>
      <x:c r="D17"/>
    </x:row>
    <x:row r="18">
      <x:c r="A18"/>
      <x:c r="B18"/>
      <x:c r="C18"/>
      <x:c r="D18"/>
    </x:row>
    <x:row r="19">
      <x:c r="A19"/>
      <x:c r="B19"/>
      <x:c r="C19"/>
      <x:c r="D19"/>
    </x:row>
    <x:row r="20">
      <x:c r="A20"/>
      <x:c r="B20"/>
      <x:c r="C20"/>
      <x:c r="D20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67359a6900eb4cc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2" hidden="0" customWidth="1"/>
    <x:col min="3" max="3" width="38" hidden="0" customWidth="1"/>
    <x:col min="4" max="4" width="16" hidden="0" customWidth="1"/>
    <x:col min="5" max="5" width="22" hidden="0" customWidth="1"/>
    <x:col min="6" max="6" width="32" hidden="0" customWidth="1"/>
    <x:col min="7" max="7" width="48" hidden="0" customWidth="1"/>
    <x:col min="8" max="8" width="48" hidden="0" customWidth="1"/>
  </x:cols>
  <x:sheetData>
    <x:row r="1" ht="15" hidden="0" customHeight="1">
      <x:c r="A1" s="38" t="str">
        <x:v>Source Mix｜本輪配額稽核</x:v>
      </x:c>
      <x:c r="B1" s="38"/>
      <x:c r="C1" s="38"/>
      <x:c r="D1" s="38"/>
      <x:c r="E1" s="38"/>
      <x:c r="F1" s="38"/>
      <x:c r="G1" s="38"/>
      <x:c r="H1" s="38"/>
    </x:row>
    <x:row r="2" ht="15" hidden="0" customHeight="1">
      <x:c r="A2" s="33"/>
      <x:c r="B2" s="33"/>
      <x:c r="C2" s="33"/>
      <x:c r="D2" s="33"/>
      <x:c r="E2" s="33"/>
      <x:c r="F2" s="33"/>
      <x:c r="G2" s="33"/>
      <x:c r="H2" s="33"/>
    </x:row>
    <x:row r="3" ht="34" hidden="0" customHeight="1">
      <x:c r="A3" s="39" t="str">
        <x:v>來源類型</x:v>
      </x:c>
      <x:c r="B3" s="39" t="str">
        <x:v>來源</x:v>
      </x:c>
      <x:c r="C3" s="39" t="str">
        <x:v>用途</x:v>
      </x:c>
      <x:c r="D3" s="39" t="str">
        <x:v>發現/驗證人數</x:v>
      </x:c>
      <x:c r="E3" s="39" t="str">
        <x:v>非招募來源?</x:v>
      </x:c>
      <x:c r="F3" s="39" t="str">
        <x:v>本輪價值</x:v>
      </x:c>
      <x:c r="G3" s="39" t="str">
        <x:v>限制</x:v>
      </x:c>
      <x:c r="H3" s="39" t="str">
        <x:v>下一步</x:v>
      </x:c>
    </x:row>
    <x:row r="4" ht="15" hidden="0" customHeight="1">
      <x:c r="A4" s="33" t="str">
        <x:v>START</x:v>
      </x:c>
      <x:c r="B4" s="33" t="str">
        <x:v>TO_FILL</x:v>
      </x:c>
      <x:c r="C4" s="33" t="str">
        <x:v>先建立來源地圖</x:v>
      </x:c>
      <x:c r="D4" s="33" t="n">
        <x:v>0</x:v>
      </x:c>
      <x:c r="E4" s="33" t="str">
        <x:v>TO_AUDIT</x:v>
      </x:c>
      <x:c r="F4" s="33" t="str">
        <x:v>尚未執行</x:v>
      </x:c>
      <x:c r="G4" s="33" t="str">
        <x:v>未達70%前不得宣稱成功</x:v>
      </x:c>
      <x:c r="H4" s="33" t="str">
        <x:v>依Job Route排序八類來源</x:v>
      </x:c>
    </x:row>
    <x:row r="5" ht="15" hidden="0" customHeight="1">
      <x:c r="A5" s="33"/>
      <x:c r="B5" s="33"/>
      <x:c r="C5" s="33"/>
      <x:c r="D5" s="33"/>
      <x:c r="E5" s="33"/>
      <x:c r="F5" s="33"/>
      <x:c r="G5" s="33"/>
      <x:c r="H5" s="33"/>
    </x:row>
    <x:row r="6" ht="15" hidden="0" customHeight="1">
      <x:c r="A6" s="33"/>
      <x:c r="B6" s="33"/>
      <x:c r="C6" s="33"/>
      <x:c r="D6" s="33"/>
      <x:c r="E6" s="33"/>
      <x:c r="F6" s="33"/>
      <x:c r="G6" s="33"/>
      <x:c r="H6" s="33"/>
    </x:row>
    <x:row r="7" ht="15" hidden="0" customHeight="1">
      <x:c r="A7" s="33"/>
      <x:c r="B7" s="33"/>
      <x:c r="C7" s="33"/>
      <x:c r="D7" s="33"/>
      <x:c r="E7" s="33"/>
      <x:c r="F7" s="33"/>
      <x:c r="G7" s="33"/>
      <x:c r="H7" s="33"/>
    </x:row>
    <x:row r="8" ht="15" hidden="0" customHeight="1">
      <x:c r="A8" s="33"/>
      <x:c r="B8" s="33"/>
      <x:c r="C8" s="33"/>
      <x:c r="D8" s="33"/>
      <x:c r="E8" s="33"/>
      <x:c r="F8" s="33"/>
      <x:c r="G8" s="33"/>
      <x:c r="H8" s="33"/>
    </x:row>
    <x:row r="9" ht="15" hidden="0" customHeight="1">
      <x:c r="A9" s="33"/>
      <x:c r="B9" s="33"/>
      <x:c r="C9" s="33"/>
      <x:c r="D9" s="33"/>
      <x:c r="E9" s="33"/>
      <x:c r="F9" s="33"/>
      <x:c r="G9" s="33"/>
      <x:c r="H9" s="33"/>
    </x:row>
    <x:row r="10" ht="15" hidden="0" customHeight="1">
      <x:c r="A10" s="33"/>
      <x:c r="B10" s="33"/>
      <x:c r="C10" s="33"/>
      <x:c r="D10" s="33"/>
      <x:c r="E10" s="33"/>
      <x:c r="F10" s="33"/>
      <x:c r="G10" s="33"/>
      <x:c r="H10" s="33"/>
    </x:row>
    <x:row r="11" ht="15" hidden="0" customHeight="1">
      <x:c r="A11" s="33"/>
      <x:c r="B11" s="33"/>
      <x:c r="C11" s="33"/>
      <x:c r="D11" s="33"/>
      <x:c r="E11" s="33"/>
      <x:c r="F11" s="33"/>
      <x:c r="G11" s="33"/>
      <x:c r="H11" s="33"/>
    </x:row>
    <x:row r="12" ht="15" hidden="0" customHeight="1">
      <x:c r="A12" s="33"/>
      <x:c r="B12" s="33"/>
      <x:c r="C12" s="33"/>
      <x:c r="D12" s="33"/>
      <x:c r="E12" s="33"/>
      <x:c r="F12" s="33"/>
      <x:c r="G12" s="33"/>
      <x:c r="H12" s="33"/>
    </x:row>
    <x:row r="13" ht="15" hidden="0" customHeight="1">
      <x:c r="A13" s="33"/>
      <x:c r="B13" s="33"/>
      <x:c r="C13" s="33"/>
      <x:c r="D13" s="33"/>
      <x:c r="E13" s="33"/>
      <x:c r="F13" s="33"/>
      <x:c r="G13" s="33"/>
      <x:c r="H13" s="33"/>
    </x:row>
    <x:row r="14" ht="15" hidden="0" customHeight="1">
      <x:c r="A14" s="33"/>
      <x:c r="B14" s="33"/>
      <x:c r="C14" s="33"/>
      <x:c r="D14" s="33"/>
      <x:c r="E14" s="33"/>
      <x:c r="F14" s="33"/>
      <x:c r="G14" s="33"/>
      <x:c r="H14" s="33"/>
    </x:row>
    <x:row r="15" ht="15" hidden="0" customHeight="1">
      <x:c r="A15" s="33"/>
      <x:c r="B15" s="33"/>
      <x:c r="C15" s="33"/>
      <x:c r="D15" s="33"/>
      <x:c r="E15" s="33"/>
      <x:c r="F15" s="33"/>
      <x:c r="G15" s="33"/>
      <x:c r="H15" s="33"/>
    </x:row>
    <x:row r="16" ht="15" hidden="0" customHeight="1">
      <x:c r="A16" s="33"/>
      <x:c r="B16" s="33"/>
      <x:c r="C16" s="33"/>
      <x:c r="D16" s="33"/>
      <x:c r="E16" s="33"/>
      <x:c r="F16" s="33"/>
      <x:c r="G16" s="33"/>
      <x:c r="H16" s="33"/>
    </x:row>
    <x:row r="17" ht="15" hidden="0" customHeight="1">
      <x:c r="A17" s="33"/>
      <x:c r="B17" s="33"/>
      <x:c r="C17" s="33"/>
      <x:c r="D17" s="33"/>
      <x:c r="E17" s="33"/>
      <x:c r="F17" s="33"/>
      <x:c r="G17" s="33"/>
      <x:c r="H17" s="33"/>
    </x:row>
    <x:row r="18" ht="15" hidden="0" customHeight="1">
      <x:c r="A18" s="33"/>
      <x:c r="B18" s="33"/>
      <x:c r="C18" s="33"/>
      <x:c r="D18" s="33"/>
      <x:c r="E18" s="33"/>
      <x:c r="F18" s="33"/>
      <x:c r="G18" s="33"/>
      <x:c r="H18" s="33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a25a349a5464ab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2" hidden="0" customWidth="1"/>
    <x:col min="3" max="3" width="56" hidden="0" customWidth="1"/>
    <x:col min="4" max="4" width="52" hidden="0" customWidth="1"/>
  </x:cols>
  <x:sheetData>
    <x:row r="1" ht="15" hidden="0" customHeight="1">
      <x:c r="A1" s="38" t="str">
        <x:v>Prompt v3修正規則｜從實測回寫給本地AI</x:v>
      </x:c>
      <x:c r="B1" s="38"/>
      <x:c r="C1" s="38"/>
      <x:c r="D1" s="38"/>
    </x:row>
    <x:row r="2" ht="15" hidden="0" customHeight="1">
      <x:c r="A2" s="33"/>
      <x:c r="B2" s="33"/>
      <x:c r="C2" s="33"/>
      <x:c r="D2" s="33"/>
    </x:row>
    <x:row r="3" ht="34" hidden="0" customHeight="1">
      <x:c r="A3" s="39" t="str">
        <x:v>Rule ID</x:v>
      </x:c>
      <x:c r="B3" s="39" t="str">
        <x:v>規則</x:v>
      </x:c>
      <x:c r="C3" s="39" t="str">
        <x:v>自動化判斷</x:v>
      </x:c>
      <x:c r="D3" s="39" t="str">
        <x:v>失敗防線</x:v>
      </x:c>
    </x:row>
    <x:row r="4" ht="15" hidden="0" customHeight="1">
      <x:c r="A4" s="33" t="str">
        <x:v>P3-01</x:v>
      </x:c>
      <x:c r="B4" s="33" t="str">
        <x:v>不得以聯絡資訊豐富度提升職缺Fit</x:v>
      </x:c>
      <x:c r="C4" s="33" t="str">
        <x:v>Fit Gate先於Contact Enrichment；兩個分數分欄</x:v>
      </x:c>
      <x:c r="D4" s="33" t="str">
        <x:v>Contacts do not rescue fit</x:v>
      </x:c>
    </x:row>
    <x:row r="5" ht="15" hidden="0" customHeight="1">
      <x:c r="A5" s="33" t="str">
        <x:v>P3-02</x:v>
      </x:c>
      <x:c r="B5" s="33" t="str">
        <x:v>只有近期可就業且Hands-on人才進Qualified Pool</x:v>
      </x:c>
      <x:c r="C5" s="33" t="str">
        <x:v>必須有current/recent role＋BIM/Revit evidence</x:v>
      </x:c>
      <x:c r="D5" s="33" t="str">
        <x:v>純學生名冊/舊論文只算Raw Lead</x:v>
      </x:c>
    </x:row>
    <x:row r="6" ht="15" hidden="0" customHeight="1">
      <x:c r="A6" s="33" t="str">
        <x:v>P3-03</x:v>
      </x:c>
      <x:c r="B6" s="33" t="str">
        <x:v>排除教授、負責人、主管與明顯薪資錯配</x:v>
      </x:c>
      <x:c r="C6" s="33" t="str">
        <x:v>Title blacklist＋年資/公司情境風險</x:v>
      </x:c>
      <x:c r="D6" s="33" t="str">
        <x:v>移入Rejected，不刪除證據</x:v>
      </x:c>
    </x:row>
    <x:row r="7" ht="15" hidden="0" customHeight="1">
      <x:c r="A7" s="33" t="str">
        <x:v>P3-04</x:v>
      </x:c>
      <x:c r="B7" s="33" t="str">
        <x:v>外籍/語言/工作權不得推定</x:v>
      </x:c>
      <x:c r="C7" s="33" t="str">
        <x:v>標記CONTACT_AFTER_CONFIRMATION</x:v>
      </x:c>
      <x:c r="D7" s="33" t="str">
        <x:v>先確認中文與合法工作權</x:v>
      </x:c>
    </x:row>
    <x:row r="8" ht="15" hidden="0" customHeight="1">
      <x:c r="A8" s="33" t="str">
        <x:v>P3-05</x:v>
      </x:c>
      <x:c r="B8" s="33" t="str">
        <x:v>Email＞電話＞社群；理想2本人管道</x:v>
      </x:c>
      <x:c r="C8" s="33" t="str">
        <x:v>每種管道同步搜尋但分欄驗證</x:v>
      </x:c>
      <x:c r="D8" s="33" t="str">
        <x:v>公司總機/系辦/推定Email不算本人</x:v>
      </x:c>
    </x:row>
    <x:row r="9" ht="15" hidden="0" customHeight="1">
      <x:c r="A9" s="33" t="str">
        <x:v>P3-06</x:v>
      </x:c>
      <x:c r="B9" s="33" t="str">
        <x:v>Email可深搜多路徑</x:v>
      </x:c>
      <x:c r="C9" s="33" t="str">
        <x:v>公司頁、作品頁、活動、簡報/PDF、協會、個站、GitHub、社群Bio、搜尋X-Ray</x:v>
      </x:c>
      <x:c r="D9" s="33" t="str">
        <x:v>每筆需URL＋身分錨點；禁止猜私人Email</x:v>
      </x:c>
    </x:row>
    <x:row r="10" ht="15" hidden="0" customHeight="1">
      <x:c r="A10" s="33" t="str">
        <x:v>P3-07</x:v>
      </x:c>
      <x:c r="B10" s="33" t="str">
        <x:v>電話只收本人公開專業電話</x:v>
      </x:c>
      <x:c r="C10" s="33" t="str">
        <x:v>同頁姓名/公司/角色錨點；用途合理</x:v>
      </x:c>
      <x:c r="D10" s="33" t="str">
        <x:v>公司總機另列Referral，不算本人</x:v>
      </x:c>
    </x:row>
    <x:row r="11" ht="15" hidden="0" customHeight="1">
      <x:c r="A11" s="33" t="str">
        <x:v>P3-08</x:v>
      </x:c>
      <x:c r="B11" s="33" t="str">
        <x:v>社群需雙錨點</x:v>
      </x:c>
      <x:c r="C11" s="33" t="str">
        <x:v>姓名＋公司/學校/作品至少二項一致</x:v>
      </x:c>
      <x:c r="D11" s="33" t="str">
        <x:v>只有同名即HOLD/FALSE_POSITIVE</x:v>
      </x:c>
    </x:row>
    <x:row r="12" ht="15" hidden="0" customHeight="1">
      <x:c r="A12" s="33" t="str">
        <x:v>P3-09</x:v>
      </x:c>
      <x:c r="B12" s="33" t="str">
        <x:v>來源配額單獨稽核</x:v>
      </x:c>
      <x:c r="C12" s="33" t="str">
        <x:v>至少70%新線索來自非招募來源</x:v>
      </x:c>
      <x:c r="D12" s="33" t="str">
        <x:v>公開LinkedIn僅作驗證時不計主要來源</x:v>
      </x:c>
    </x:row>
    <x:row r="13" ht="15" hidden="0" customHeight="1">
      <x:c r="A13" s="33" t="str">
        <x:v>P3-10</x:v>
      </x:c>
      <x:c r="B13" s="33" t="str">
        <x:v>每輪必須記錄失敗</x:v>
      </x:c>
      <x:c r="C13" s="33" t="str">
        <x:v>查詢、來源、同名誤認、被擋、停止原因寫Run Log</x:v>
      </x:c>
      <x:c r="D13" s="33" t="str">
        <x:v>不得把查無包裝成成功</x:v>
      </x:c>
    </x:row>
    <x:row r="14" ht="15" hidden="0" customHeight="1">
      <x:c r="A14" s="33" t="str">
        <x:v>P3-11</x:v>
      </x:c>
      <x:c r="B14" s="33" t="str">
        <x:v>Client-ready另設Gate</x:v>
      </x:c>
      <x:c r="C14" s="33" t="str">
        <x:v>薪資、地點、駕照、中文、工作權、到職日皆確認</x:v>
      </x:c>
      <x:c r="D14" s="33" t="str">
        <x:v>Qualified Public Evidence不等於可推客戶</x:v>
      </x:c>
    </x:row>
    <x:row r="15" ht="15" hidden="0" customHeight="1">
      <x:c r="A15" s="33" t="str">
        <x:v>P3-12</x:v>
      </x:c>
      <x:c r="B15" s="33" t="str">
        <x:v>量的目標是漏斗而非30人終點</x:v>
      </x:c>
      <x:c r="C15" s="33" t="str">
        <x:v>Raw 100+→Qualified 30+→Contactable 15+→Client-ready 5–10</x:v>
      </x:c>
      <x:c r="D15" s="33" t="str">
        <x:v>不足就擴張來源，不在同一批無限重搜</x:v>
      </x:c>
    </x:row>
    <x:row r="16" ht="15" hidden="0" customHeight="1">
      <x:c r="A16" s="33" t="str">
        <x:v>P3-13</x:v>
      </x:c>
      <x:c r="B16" s="33" t="str">
        <x:v>Qualified後橫向查Cake/GitHub/個站</x:v>
      </x:c>
      <x:c r="C16" s="33" t="str">
        <x:v>Cake公開Profile/Portfolio；GitHub Profile/README；個站About/Contact</x:v>
      </x:c>
      <x:c r="D16" s="33" t="str">
        <x:v>Cake僅輔助不算非招募配額；不得查commit metadata/遮罩資料</x:v>
      </x:c>
    </x:row>
    <x:row r="17" ht="24" hidden="0" customHeight="1">
      <x:c r="A17" s="33" t="str">
        <x:v>P3-14</x:v>
      </x:c>
      <x:c r="B17" s="33" t="str">
        <x:v>橫向查無也逐人留狀態</x:v>
      </x:c>
      <x:c r="C17" s="33" t="str">
        <x:v>FOUND_VERIFIED / SEARCHED_NOT_FOUND / FALSE_POSITIVE_IDENTITY / HUMAN_ACTION_REQUIRED</x:v>
      </x:c>
      <x:c r="D17" s="33" t="str">
        <x:v>同名頁不得寫回Candidate Pool</x:v>
      </x:c>
    </x:row>
    <x:row r="18" ht="15" hidden="0" customHeight="1">
      <x:c r="A18" s="33" t="str">
        <x:v>P3-15</x:v>
      </x:c>
      <x:c r="B18" s="33" t="str">
        <x:v>任何新JD先跑Job Strategy Router</x:v>
      </x:c>
      <x:c r="C18" s="33" t="str">
        <x:v>Primary/Secondary ecosystem＋Overlays＋來源/聯絡/停止規則</x:v>
      </x:c>
      <x:c r="D18" s="33" t="str">
        <x:v>未完成PRIMARY_ECOSYSTEM不得搜尋個人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cb6ce8c2890b4bf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0" hidden="0" customWidth="1"/>
    <x:col min="3" max="3" width="14" hidden="0" customWidth="1"/>
    <x:col min="4" max="4" width="60" hidden="0" customWidth="1"/>
    <x:col min="5" max="5" width="16" hidden="0" customWidth="1"/>
    <x:col min="6" max="6" width="44" hidden="0" customWidth="1"/>
  </x:cols>
  <x:sheetData>
    <x:row r="1" ht="15" hidden="0" customHeight="1">
      <x:c r="A1" s="38" t="str">
        <x:v>Next Expansion｜回到非招募來源擴張量</x:v>
      </x:c>
      <x:c r="B1" s="38"/>
      <x:c r="C1" s="38"/>
      <x:c r="D1" s="38"/>
      <x:c r="E1" s="38"/>
      <x:c r="F1" s="38"/>
    </x:row>
    <x:row r="2" ht="15" hidden="0" customHeight="1">
      <x:c r="A2" s="33"/>
      <x:c r="B2" s="33"/>
      <x:c r="C2" s="33"/>
      <x:c r="D2" s="33"/>
      <x:c r="E2" s="33"/>
      <x:c r="F2" s="33"/>
    </x:row>
    <x:row r="3" ht="34" hidden="0" customHeight="1">
      <x:c r="A3" s="39" t="str">
        <x:v>優先</x:v>
      </x:c>
      <x:c r="B3" s="39" t="str">
        <x:v>來源入口</x:v>
      </x:c>
      <x:c r="C3" s="39" t="str">
        <x:v>目標量</x:v>
      </x:c>
      <x:c r="D3" s="39" t="str">
        <x:v>抽取方法</x:v>
      </x:c>
      <x:c r="E3" s="39" t="str">
        <x:v>Gate後預估</x:v>
      </x:c>
      <x:c r="F3" s="39" t="str">
        <x:v>目的</x:v>
      </x:c>
    </x:row>
    <x:row r="4" ht="15" hidden="0" customHeight="1">
      <x:c r="A4" s="33" t="n">
        <x:v>1</x:v>
      </x:c>
      <x:c r="B4" s="33" t="str">
        <x:v>TO_FILL</x:v>
      </x:c>
      <x:c r="C4" s="33" t="n">
        <x:v>0</x:v>
      </x:c>
      <x:c r="D4" s="33" t="str">
        <x:v>從高產量公開來源抽名單</x:v>
      </x:c>
      <x:c r="E4" s="33" t="n">
        <x:v>0</x:v>
      </x:c>
      <x:c r="F4" s="33" t="str">
        <x:v>補足Qualified與Contactable漏斗</x:v>
      </x:c>
    </x:row>
    <x:row r="5" ht="15" hidden="0" customHeight="1">
      <x:c r="A5" s="33"/>
      <x:c r="B5" s="33"/>
      <x:c r="C5" s="33"/>
      <x:c r="D5" s="33"/>
      <x:c r="E5" s="33"/>
      <x:c r="F5" s="33"/>
    </x:row>
    <x:row r="6" ht="15" hidden="0" customHeight="1">
      <x:c r="A6" s="33"/>
      <x:c r="B6" s="33"/>
      <x:c r="C6" s="33"/>
      <x:c r="D6" s="33"/>
      <x:c r="E6" s="33"/>
      <x:c r="F6" s="33"/>
    </x:row>
    <x:row r="7" ht="15" hidden="0" customHeight="1">
      <x:c r="A7" s="33"/>
      <x:c r="B7" s="33"/>
      <x:c r="C7" s="33"/>
      <x:c r="D7" s="33"/>
      <x:c r="E7" s="33"/>
      <x:c r="F7" s="33"/>
    </x:row>
    <x:row r="8" ht="15" hidden="0" customHeight="1">
      <x:c r="A8" s="33"/>
      <x:c r="B8" s="33"/>
      <x:c r="C8" s="33"/>
      <x:c r="D8" s="33"/>
      <x:c r="E8" s="33"/>
      <x:c r="F8" s="33"/>
    </x:row>
    <x:row r="9" ht="15" hidden="0" customHeight="1">
      <x:c r="A9" s="33"/>
      <x:c r="B9" s="33"/>
      <x:c r="C9" s="33"/>
      <x:c r="D9" s="33"/>
      <x:c r="E9" s="33"/>
      <x:c r="F9" s="33"/>
    </x:row>
    <x:row r="10" ht="15" hidden="0" customHeight="1">
      <x:c r="A10" s="33"/>
      <x:c r="B10" s="33"/>
      <x:c r="C10" s="33"/>
      <x:c r="D10" s="33"/>
      <x:c r="E10" s="33"/>
      <x:c r="F10" s="33"/>
    </x:row>
    <x:row r="11">
      <x:c r="A11"/>
      <x:c r="B11"/>
      <x:c r="C11"/>
      <x:c r="D11"/>
      <x:c r="E11"/>
      <x:c r="F11"/>
    </x:row>
    <x:row r="12">
      <x:c r="A12"/>
      <x:c r="B12"/>
      <x:c r="C12"/>
      <x:c r="D12"/>
      <x:c r="E12"/>
      <x:c r="F12"/>
    </x:row>
    <x:row r="13">
      <x:c r="A13"/>
      <x:c r="B13"/>
      <x:c r="C13"/>
      <x:c r="D13"/>
      <x:c r="E13"/>
      <x:c r="F13"/>
    </x:row>
    <x:row r="14">
      <x:c r="A14"/>
      <x:c r="B14"/>
      <x:c r="C14"/>
      <x:c r="D14"/>
      <x:c r="E14"/>
      <x:c r="F14"/>
    </x:row>
    <x:row r="15">
      <x:c r="A15"/>
      <x:c r="B15"/>
      <x:c r="C15"/>
      <x:c r="D15"/>
      <x:c r="E15"/>
      <x:c r="F15"/>
    </x:row>
    <x:row r="16">
      <x:c r="A16"/>
      <x:c r="B16"/>
      <x:c r="C16"/>
      <x:c r="D16"/>
      <x:c r="E16"/>
      <x:c r="F16"/>
    </x:row>
    <x:row r="17">
      <x:c r="A17"/>
      <x:c r="B17"/>
      <x:c r="C17"/>
      <x:c r="D17"/>
      <x:c r="E17"/>
      <x:c r="F17"/>
    </x:row>
    <x:row r="18">
      <x:c r="A18"/>
      <x:c r="B18"/>
      <x:c r="C18"/>
      <x:c r="D18"/>
      <x:c r="E18"/>
      <x:c r="F18"/>
    </x:row>
    <x:row r="19">
      <x:c r="A19"/>
      <x:c r="B19"/>
      <x:c r="C19"/>
      <x:c r="D19"/>
      <x:c r="E19"/>
      <x:c r="F19"/>
    </x:row>
    <x:row r="20">
      <x:c r="A20"/>
      <x:c r="B20"/>
      <x:c r="C20"/>
      <x:c r="D20"/>
      <x:c r="E20"/>
      <x:c r="F20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337764b0051472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62" hidden="0" customWidth="1"/>
    <x:col min="3" max="3" width="52" hidden="0" customWidth="1"/>
    <x:col min="4" max="4" width="42" hidden="0" customWidth="1"/>
    <x:col min="5" max="5" width="44" hidden="0" customWidth="1"/>
  </x:cols>
  <x:sheetData>
    <x:row r="1" ht="15" hidden="0" customHeight="1">
      <x:c r="A1" s="38" t="str">
        <x:v>Prompt V3 LOCKED｜Qualified-First不可覆寫規則</x:v>
      </x:c>
      <x:c r="B1" s="38"/>
      <x:c r="C1" s="38"/>
      <x:c r="D1" s="38"/>
      <x:c r="E1" s="38"/>
    </x:row>
    <x:row r="2" ht="15" hidden="0" customHeight="1">
      <x:c r="A2" s="33"/>
      <x:c r="B2" s="33"/>
      <x:c r="C2" s="33"/>
      <x:c r="D2" s="33"/>
      <x:c r="E2" s="33"/>
    </x:row>
    <x:row r="3" ht="34" hidden="0" customHeight="1">
      <x:c r="A3" s="39" t="str">
        <x:v>版本</x:v>
      </x:c>
      <x:c r="B3" s="39" t="str">
        <x:v>狀態</x:v>
      </x:c>
      <x:c r="C3" s="39" t="str">
        <x:v>鎖定原因</x:v>
      </x:c>
      <x:c r="D3" s="39" t="str">
        <x:v>完整提示詞檔</x:v>
      </x:c>
      <x:c r="E3" s="39" t="str">
        <x:v>變更規則</x:v>
      </x:c>
    </x:row>
    <x:row r="4" ht="24" hidden="0" customHeight="1">
      <x:c r="A4" s="33" t="str">
        <x:v>V3.2</x:v>
      </x:c>
      <x:c r="B4" s="33" t="str">
        <x:v>LOCKED</x:v>
      </x:c>
      <x:c r="C4" s="33" t="str">
        <x:v>Qualified-First + Job Router + Contact evidence rules</x:v>
      </x:c>
      <x:c r="D4" s="33" t="str">
        <x:v>references/full-prompt-v3.2.md + references/job-strategy-router.md</x:v>
      </x:c>
      <x:c r="E4" s="33" t="str">
        <x:v>未經使用者明確同意，不得取消Job Route、Fit先於Contact、身分雙錨點、70%非招募來源與禁止猜聯絡資料</x:v>
      </x:c>
    </x:row>
    <x:row r="5" ht="15" hidden="0" customHeight="1">
      <x:c r="A5" s="33"/>
      <x:c r="B5" s="33"/>
      <x:c r="C5" s="33"/>
      <x:c r="D5" s="33"/>
      <x:c r="E5" s="33"/>
    </x:row>
    <x:row r="6" ht="34" hidden="0" customHeight="1">
      <x:c r="A6" s="39" t="str">
        <x:v>Rule</x:v>
      </x:c>
      <x:c r="B6" s="39" t="str">
        <x:v>鎖定內容</x:v>
      </x:c>
      <x:c r="C6" s="39" t="str">
        <x:v>自動判斷</x:v>
      </x:c>
      <x:c r="D6" s="39" t="str">
        <x:v>失敗代碼</x:v>
      </x:c>
      <x:c r="E6" s="39" t="str">
        <x:v>人工檢核</x:v>
      </x:c>
    </x:row>
    <x:row r="7" ht="15" hidden="0" customHeight="1">
      <x:c r="A7" s="33" t="str">
        <x:v>L-01</x:v>
      </x:c>
      <x:c r="B7" s="33" t="str">
        <x:v>JD/Talent DNA/Qualified Gate先於Contact Enrichment</x:v>
      </x:c>
      <x:c r="C7" s="33" t="str">
        <x:v>未通過Gate不得跑聯絡深搜</x:v>
      </x:c>
      <x:c r="D7" s="33" t="str">
        <x:v>FAILED_CONTACT_RICH_BUT_JOB_MISMATCH</x:v>
      </x:c>
      <x:c r="E7" s="33" t="str">
        <x:v>使用者已驗證30位方向正確</x:v>
      </x:c>
    </x:row>
    <x:row r="8" ht="15" hidden="0" customHeight="1">
      <x:c r="A8" s="33" t="str">
        <x:v>L-02</x:v>
      </x:c>
      <x:c r="B8" s="33" t="str">
        <x:v>Fit、Recruitability、Contactability分離</x:v>
      </x:c>
      <x:c r="C8" s="33" t="str">
        <x:v>聯絡方式不進Fit Score</x:v>
      </x:c>
      <x:c r="D8" s="33" t="str">
        <x:v>SCORE_CONTAMINATION</x:v>
      </x:c>
      <x:c r="E8" s="33" t="str">
        <x:v>V14失敗案例</x:v>
      </x:c>
    </x:row>
    <x:row r="9" ht="15" hidden="0" customHeight="1">
      <x:c r="A9" s="33" t="str">
        <x:v>L-03</x:v>
      </x:c>
      <x:c r="B9" s="33" t="str">
        <x:v>LinkedIn只作驗證；70%新線索需非招募來源</x:v>
      </x:c>
      <x:c r="C9" s="33" t="str">
        <x:v>每輪Source Mix單獨稽核</x:v>
      </x:c>
      <x:c r="D9" s="33" t="str">
        <x:v>SOURCE_MIX_PARTIAL</x:v>
      </x:c>
      <x:c r="E9" s="33" t="str">
        <x:v>V15尚未達標</x:v>
      </x:c>
    </x:row>
    <x:row r="10" ht="15" hidden="0" customHeight="1">
      <x:c r="A10" s="33" t="str">
        <x:v>L-04</x:v>
      </x:c>
      <x:c r="B10" s="33" t="str">
        <x:v>Email＞電話＞社群；理想2個本人媒介</x:v>
      </x:c>
      <x:c r="C10" s="33" t="str">
        <x:v>公司總機/客服/系辦不算本人</x:v>
      </x:c>
      <x:c r="D10" s="33" t="str">
        <x:v>CONTACT_COVERAGE_GAP</x:v>
      </x:c>
      <x:c r="E10" s="33" t="str">
        <x:v>V16 Email/Phone仍為0</x:v>
      </x:c>
    </x:row>
    <x:row r="11" ht="15" hidden="0" customHeight="1">
      <x:c r="A11" s="33" t="str">
        <x:v>L-05</x:v>
      </x:c>
      <x:c r="B11" s="33" t="str">
        <x:v>姓名＋至少2個一致錨點</x:v>
      </x:c>
      <x:c r="C11" s="33" t="str">
        <x:v>同名衝突移入Hold/Rejected</x:v>
      </x:c>
      <x:c r="D11" s="33" t="str">
        <x:v>UNVERIFIED_SAME_NAME</x:v>
      </x:c>
      <x:c r="E11" s="33" t="str">
        <x:v>已排除多筆錯誤FB/Threads</x:v>
      </x:c>
    </x:row>
    <x:row r="12" ht="15" hidden="0" customHeight="1">
      <x:c r="A12" s="33" t="str">
        <x:v>L-06</x:v>
      </x:c>
      <x:c r="B12" s="33" t="str">
        <x:v>查無也必須留下路徑與停止原因</x:v>
      </x:c>
      <x:c r="C12" s="33" t="str">
        <x:v>完成等價路徑後停止重搜</x:v>
      </x:c>
      <x:c r="D12" s="33" t="str">
        <x:v>CONTACT_NOT_PUBLIC_AFTER_DEEP_SEARCH</x:v>
      </x:c>
      <x:c r="E12" s="33" t="str">
        <x:v>Run Log留存</x:v>
      </x:c>
    </x:row>
    <x:row r="13" ht="15" hidden="0" customHeight="1">
      <x:c r="A13" s="33" t="str">
        <x:v>L-07</x:v>
      </x:c>
      <x:c r="B13" s="33" t="str">
        <x:v>Client-ready另設Gate</x:v>
      </x:c>
      <x:c r="C13" s="33" t="str">
        <x:v>薪資/地點/駕照/中文/工作權/到職日確認</x:v>
      </x:c>
      <x:c r="D13" s="33" t="str">
        <x:v>NOT_CLIENT_READY</x:v>
      </x:c>
      <x:c r="E13" s="33" t="str">
        <x:v>目前30位均未完成全部確認</x:v>
      </x:c>
    </x:row>
    <x:row r="14" ht="15" hidden="0" customHeight="1">
      <x:c r="A14" s="33" t="str">
        <x:v>L-08</x:v>
      </x:c>
      <x:c r="B14" s="33" t="str">
        <x:v>Cake/GitHub/個站只作Qualified後補查</x:v>
      </x:c>
      <x:c r="C14" s="33" t="str">
        <x:v>逐人保留查找狀態與False Positive</x:v>
      </x:c>
      <x:c r="D14" s="33" t="str">
        <x:v>HORIZONTAL_IDENTITY_NOT_VERIFIED</x:v>
      </x:c>
      <x:c r="E14" s="33" t="str">
        <x:v>V17 17人實測驗證頁0</x:v>
      </x:c>
    </x:row>
    <x:row r="15" ht="15" hidden="0" customHeight="1">
      <x:c r="A15" s="33" t="str">
        <x:v>L-09</x:v>
      </x:c>
      <x:c r="B15" s="33" t="str">
        <x:v>新JD必須先指定Primary Ecosystem</x:v>
      </x:c>
      <x:c r="C15" s="33" t="str">
        <x:v>依職缺重新排序來源與Contact Waterfall</x:v>
      </x:c>
      <x:c r="D15" s="33" t="str">
        <x:v>ROUTE_NOT_ASSIGNED</x:v>
      </x:c>
      <x:c r="E15" s="33" t="str">
        <x:v>V18五個JD已通過路由測試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e8a7f4ff77f4f3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38" hidden="0" customWidth="1"/>
    <x:col min="4" max="4" width="18" hidden="0" customWidth="1"/>
    <x:col min="5" max="5" width="18" hidden="0" customWidth="1"/>
    <x:col min="6" max="6" width="16" hidden="0" customWidth="1"/>
    <x:col min="7" max="7" width="32" hidden="0" customWidth="1"/>
    <x:col min="8" max="8" width="30" hidden="0" customWidth="1"/>
    <x:col min="9" max="9" width="38" hidden="0" customWidth="1"/>
    <x:col min="10" max="10" width="38" hidden="0" customWidth="1"/>
    <x:col min="11" max="11" width="50" hidden="0" customWidth="1"/>
    <x:col min="12" max="12" width="50" hidden="0" customWidth="1"/>
    <x:col min="13" max="13" width="50" hidden="0" customWidth="1"/>
  </x:cols>
  <x:sheetData>
    <x:row r="1" ht="15" hidden="0" customHeight="1">
      <x:c r="A1" s="38" t="str">
        <x:v>V16 Contact Sprint｜17位Direct人選非學術路徑複查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</x:row>
    <x:row r="2" ht="15" hidden="0" customHeight="1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</x:row>
    <x:row r="3" ht="34" hidden="0" customHeight="1">
      <x:c r="A3" s="39" t="str">
        <x:v>姓名</x:v>
      </x:c>
      <x:c r="B3" s="39" t="str">
        <x:v>公司</x:v>
      </x:c>
      <x:c r="C3" s="39" t="str">
        <x:v>查詢路徑</x:v>
      </x:c>
      <x:c r="D3" s="39" t="str">
        <x:v>本人Email</x:v>
      </x:c>
      <x:c r="E3" s="39" t="str">
        <x:v>本人電話</x:v>
      </x:c>
      <x:c r="F3" s="39" t="str">
        <x:v>LinkedIn</x:v>
      </x:c>
      <x:c r="G3" s="39" t="str">
        <x:v>第二社群</x:v>
      </x:c>
      <x:c r="H3" s="39" t="str">
        <x:v>公司Referral</x:v>
      </x:c>
      <x:c r="I3" s="39" t="str">
        <x:v>同名排除</x:v>
      </x:c>
      <x:c r="J3" s="39" t="str">
        <x:v>狀態</x:v>
      </x:c>
      <x:c r="K3" s="39" t="str">
        <x:v>停止/續查</x:v>
      </x:c>
      <x:c r="L3" s="39" t="str">
        <x:v>來源1</x:v>
      </x:c>
      <x:c r="M3" s="39" t="str">
        <x:v>來源2</x:v>
      </x:c>
    </x:row>
    <x:row r="4" ht="15" hidden="0" customHeight="1">
      <x:c r="A4" s="33"/>
      <x:c r="B4" s="33"/>
      <x:c r="C4" s="33" t="str">
        <x:v>只對DIRECT_TARGET或CONTACT_AFTER_CONFIRMATION執行</x:v>
      </x:c>
      <x:c r="D4" s="33"/>
      <x:c r="E4" s="33"/>
      <x:c r="F4" s="33"/>
      <x:c r="G4" s="33"/>
      <x:c r="H4" s="33"/>
      <x:c r="I4" s="33"/>
      <x:c r="J4" s="33" t="str">
        <x:v>NOT_STARTED</x:v>
      </x:c>
      <x:c r="K4" s="33" t="str">
        <x:v>新錨點才重啟</x:v>
      </x:c>
      <x:c r="L4" s="33"/>
      <x:c r="M4" s="33"/>
    </x:row>
    <x:row r="5" ht="15" hidden="0" customHeight="1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</x:row>
    <x:row r="6" ht="24" hidden="0" customHeight="1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</x:row>
    <x:row r="7" ht="24" hidden="0" customHeight="1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</x:row>
    <x:row r="8" ht="24" hidden="0" customHeight="1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</x:row>
    <x:row r="9" ht="24" hidden="0" customHeight="1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</x:row>
    <x:row r="10" ht="48" hidden="0" customHeight="1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</x:row>
    <x:row r="11" ht="15" hidden="0" customHeight="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</x:row>
    <x:row r="12" ht="15" hidden="0" customHeight="1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</x:row>
    <x:row r="13" ht="24" hidden="0" customHeight="1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</x:row>
    <x:row r="14" ht="15" hidden="0" customHeight="1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</x:row>
    <x:row r="15" ht="15" hidden="0" customHeight="1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</x:row>
    <x:row r="16" ht="15" hidden="0" customHeight="1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</x:row>
    <x:row r="17" ht="15" hidden="0" customHeight="1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</x:row>
    <x:row r="18" ht="15" hidden="0" customHeight="1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</x:row>
    <x:row r="19" ht="15" hidden="0" customHeight="1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</x:row>
    <x:row r="20" ht="24" hidden="0" customHeight="1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</x:row>
  </x:sheetData>
  <x:mergeCells>
    <x:mergeCell ref="A1:M1"/>
  </x:mergeCells>
  <x:conditionalFormatting sqref="J4:J20">
    <x:cfRule type="containsText" dxfId="2" priority="1" operator="containsText" text="DIRECT_SOCIAL"/>
    <x:cfRule type="containsText" dxfId="3" priority="2" operator="containsText" text="UNVERIFIED"/>
  </x:conditionalFormatting>
  <x:pageMargins left="0.7" right="0.7" top="0.75" bottom="0.75" header="0.3" footer="0.3"/>
  <x:tableParts count="1">
    <x:tablePart xmlns:r="http://schemas.openxmlformats.org/officeDocument/2006/relationships" r:id="Ra84a05959678419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30" hidden="0" customWidth="1"/>
    <x:col min="4" max="4" width="52" hidden="0" customWidth="1"/>
    <x:col min="5" max="5" width="12" hidden="0" customWidth="1"/>
    <x:col min="6" max="6" width="24" hidden="0" customWidth="1"/>
    <x:col min="7" max="7" width="22" hidden="0" customWidth="1"/>
    <x:col min="8" max="8" width="52" hidden="0" customWidth="1"/>
    <x:col min="9" max="9" width="52" hidden="0" customWidth="1"/>
    <x:col min="10" max="10" width="38" hidden="0" customWidth="1"/>
  </x:cols>
  <x:sheetData>
    <x:row r="1" ht="15" hidden="0" customHeight="1">
      <x:c r="A1" s="38" t="str">
        <x:v>V16 Candidate Graph Expansion｜新Raw Leads先回Gate</x:v>
      </x:c>
      <x:c r="B1" s="38"/>
      <x:c r="C1" s="38"/>
      <x:c r="D1" s="38"/>
      <x:c r="E1" s="38"/>
      <x:c r="F1" s="38"/>
      <x:c r="G1" s="38"/>
      <x:c r="H1" s="38"/>
      <x:c r="I1" s="38"/>
      <x:c r="J1" s="38"/>
    </x:row>
    <x:row r="2" ht="15" hidden="0" customHeight="1">
      <x:c r="A2" s="33"/>
      <x:c r="B2" s="33"/>
      <x:c r="C2" s="33"/>
      <x:c r="D2" s="33"/>
      <x:c r="E2" s="33"/>
      <x:c r="F2" s="33"/>
      <x:c r="G2" s="33"/>
      <x:c r="H2" s="33"/>
      <x:c r="I2" s="33"/>
      <x:c r="J2" s="33"/>
    </x:row>
    <x:row r="3" ht="34" hidden="0" customHeight="1">
      <x:c r="A3" s="39" t="str">
        <x:v>姓名</x:v>
      </x:c>
      <x:c r="B3" s="39" t="str">
        <x:v>來源關係</x:v>
      </x:c>
      <x:c r="C3" s="39" t="str">
        <x:v>公司/組織</x:v>
      </x:c>
      <x:c r="D3" s="39" t="str">
        <x:v>公開訊號</x:v>
      </x:c>
      <x:c r="E3" s="39" t="str">
        <x:v>年份</x:v>
      </x:c>
      <x:c r="F3" s="39" t="str">
        <x:v>分類</x:v>
      </x:c>
      <x:c r="G3" s="39" t="str">
        <x:v>可否直接聯絡</x:v>
      </x:c>
      <x:c r="H3" s="39" t="str">
        <x:v>Source URL</x:v>
      </x:c>
      <x:c r="I3" s="39" t="str">
        <x:v>下一步</x:v>
      </x:c>
      <x:c r="J3" s="39" t="str">
        <x:v>備註</x:v>
      </x:c>
    </x:row>
    <x:row r="4" ht="15" hidden="0" customHeight="1">
      <x:c r="A4" s="33"/>
      <x:c r="B4" s="33" t="str">
        <x:v>A級人選至少擴張5節點</x:v>
      </x:c>
      <x:c r="C4" s="33"/>
      <x:c r="D4" s="33"/>
      <x:c r="E4" s="33"/>
      <x:c r="F4" s="33" t="str">
        <x:v>RAW_LEAD</x:v>
      </x:c>
      <x:c r="G4" s="33" t="str">
        <x:v>NO</x:v>
      </x:c>
      <x:c r="H4" s="33"/>
      <x:c r="I4" s="33" t="str">
        <x:v>回Identity Resolution</x:v>
      </x:c>
      <x:c r="J4" s="33"/>
    </x:row>
    <x:row r="5" ht="15" hidden="0" customHeight="1">
      <x:c r="A5" s="33"/>
      <x:c r="B5" s="33"/>
      <x:c r="C5" s="33"/>
      <x:c r="D5" s="33"/>
      <x:c r="E5" s="33"/>
      <x:c r="F5" s="33"/>
      <x:c r="G5" s="33"/>
      <x:c r="H5" s="33"/>
      <x:c r="I5" s="33"/>
      <x:c r="J5" s="33"/>
    </x:row>
    <x:row r="6" ht="15" hidden="0" customHeight="1">
      <x:c r="A6" s="33"/>
      <x:c r="B6" s="33"/>
      <x:c r="C6" s="33"/>
      <x:c r="D6" s="33"/>
      <x:c r="E6" s="33"/>
      <x:c r="F6" s="33"/>
      <x:c r="G6" s="33"/>
      <x:c r="H6" s="33"/>
      <x:c r="I6" s="33"/>
      <x:c r="J6" s="33"/>
    </x:row>
    <x:row r="7" ht="15" hidden="0" customHeight="1">
      <x:c r="A7" s="33"/>
      <x:c r="B7" s="33"/>
      <x:c r="C7" s="33"/>
      <x:c r="D7" s="33"/>
      <x:c r="E7" s="33"/>
      <x:c r="F7" s="33"/>
      <x:c r="G7" s="33"/>
      <x:c r="H7" s="33"/>
      <x:c r="I7" s="33"/>
      <x:c r="J7" s="33"/>
    </x:row>
    <x:row r="8" ht="15" hidden="0" customHeight="1">
      <x:c r="A8" s="33"/>
      <x:c r="B8" s="33"/>
      <x:c r="C8" s="33"/>
      <x:c r="D8" s="33"/>
      <x:c r="E8" s="33"/>
      <x:c r="F8" s="33"/>
      <x:c r="G8" s="33"/>
      <x:c r="H8" s="33"/>
      <x:c r="I8" s="33"/>
      <x:c r="J8" s="33"/>
    </x:row>
    <x:row r="9" ht="15" hidden="0" customHeight="1">
      <x:c r="A9" s="33"/>
      <x:c r="B9" s="33"/>
      <x:c r="C9" s="33"/>
      <x:c r="D9" s="33"/>
      <x:c r="E9" s="33"/>
      <x:c r="F9" s="33"/>
      <x:c r="G9" s="33"/>
      <x:c r="H9" s="33"/>
      <x:c r="I9" s="33"/>
      <x:c r="J9" s="33"/>
    </x:row>
    <x:row r="10" ht="15" hidden="0" customHeight="1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</x:row>
    <x:row r="11">
      <x:c r="A11"/>
      <x:c r="B11"/>
      <x:c r="C11"/>
      <x:c r="D11"/>
      <x:c r="E11"/>
      <x:c r="F11"/>
      <x:c r="G11"/>
      <x:c r="H11"/>
      <x:c r="I11"/>
      <x:c r="J11"/>
    </x:row>
    <x:row r="12">
      <x:c r="A12"/>
      <x:c r="B12"/>
      <x:c r="C12"/>
      <x:c r="D12"/>
      <x:c r="E12"/>
      <x:c r="F12"/>
      <x:c r="G12"/>
      <x:c r="H12"/>
      <x:c r="I12"/>
      <x:c r="J12"/>
    </x:row>
    <x:row r="13">
      <x:c r="A13"/>
      <x:c r="B13"/>
      <x:c r="C13"/>
      <x:c r="D13"/>
      <x:c r="E13"/>
      <x:c r="F13"/>
      <x:c r="G13"/>
      <x:c r="H13"/>
      <x:c r="I13"/>
      <x:c r="J13"/>
    </x:row>
    <x:row r="14">
      <x:c r="A14"/>
      <x:c r="B14"/>
      <x:c r="C14"/>
      <x:c r="D14"/>
      <x:c r="E14"/>
      <x:c r="F14"/>
      <x:c r="G14"/>
      <x:c r="H14"/>
      <x:c r="I14"/>
      <x:c r="J14"/>
    </x:row>
    <x:row r="15">
      <x:c r="A15"/>
      <x:c r="B15"/>
      <x:c r="C15"/>
      <x:c r="D15"/>
      <x:c r="E15"/>
      <x:c r="F15"/>
      <x:c r="G15"/>
      <x:c r="H15"/>
      <x:c r="I15"/>
      <x:c r="J15"/>
    </x:row>
    <x:row r="16">
      <x:c r="A16"/>
      <x:c r="B16"/>
      <x:c r="C16"/>
      <x:c r="D16"/>
      <x:c r="E16"/>
      <x:c r="F16"/>
      <x:c r="G16"/>
      <x:c r="H16"/>
      <x:c r="I16"/>
      <x:c r="J16"/>
    </x:row>
    <x:row r="17">
      <x:c r="A17"/>
      <x:c r="B17"/>
      <x:c r="C17"/>
      <x:c r="D17"/>
      <x:c r="E17"/>
      <x:c r="F17"/>
      <x:c r="G17"/>
      <x:c r="H17"/>
      <x:c r="I17"/>
      <x:c r="J17"/>
    </x:row>
    <x:row r="18">
      <x:c r="A18"/>
      <x:c r="B18"/>
      <x:c r="C18"/>
      <x:c r="D18"/>
      <x:c r="E18"/>
      <x:c r="F18"/>
      <x:c r="G18"/>
      <x:c r="H18"/>
      <x:c r="I18"/>
      <x:c r="J18"/>
    </x:row>
    <x:row r="19">
      <x:c r="A19"/>
      <x:c r="B19"/>
      <x:c r="C19"/>
      <x:c r="D19"/>
      <x:c r="E19"/>
      <x:c r="F19"/>
      <x:c r="G19"/>
      <x:c r="H19"/>
      <x:c r="I19"/>
      <x:c r="J19"/>
    </x:row>
    <x:row r="20">
      <x:c r="A20"/>
      <x:c r="B20"/>
      <x:c r="C20"/>
      <x:c r="D20"/>
      <x:c r="E20"/>
      <x:c r="F20"/>
      <x:c r="G20"/>
      <x:c r="H20"/>
      <x:c r="I20"/>
      <x:c r="J20"/>
    </x:row>
    <x:row r="21">
      <x:c r="A21"/>
      <x:c r="B21"/>
      <x:c r="C21"/>
      <x:c r="D21"/>
      <x:c r="E21"/>
      <x:c r="F21"/>
      <x:c r="G21"/>
      <x:c r="H21"/>
      <x:c r="I21"/>
      <x:c r="J21"/>
    </x:row>
    <x:row r="22">
      <x:c r="A22"/>
      <x:c r="B22"/>
      <x:c r="C22"/>
      <x:c r="D22"/>
      <x:c r="E22"/>
      <x:c r="F22"/>
      <x:c r="G22"/>
      <x:c r="H22"/>
      <x:c r="I22"/>
      <x:c r="J22"/>
    </x:row>
    <x:row r="23">
      <x:c r="A23"/>
      <x:c r="B23"/>
      <x:c r="C23"/>
      <x:c r="D23"/>
      <x:c r="E23"/>
      <x:c r="F23"/>
      <x:c r="G23"/>
      <x:c r="H23"/>
      <x:c r="I23"/>
      <x:c r="J23"/>
    </x:row>
    <x:row r="24">
      <x:c r="A24"/>
      <x:c r="B24"/>
      <x:c r="C24"/>
      <x:c r="D24"/>
      <x:c r="E24"/>
      <x:c r="F24"/>
      <x:c r="G24"/>
      <x:c r="H24"/>
      <x:c r="I24"/>
      <x:c r="J24"/>
    </x:row>
    <x:row r="25">
      <x:c r="A25"/>
      <x:c r="B25"/>
      <x:c r="C25"/>
      <x:c r="D25"/>
      <x:c r="E25"/>
      <x:c r="F25"/>
      <x:c r="G25"/>
      <x:c r="H25"/>
      <x:c r="I25"/>
      <x:c r="J25"/>
    </x:row>
    <x:row r="26">
      <x:c r="A26"/>
      <x:c r="B26"/>
      <x:c r="C26"/>
      <x:c r="D26"/>
      <x:c r="E26"/>
      <x:c r="F26"/>
      <x:c r="G26"/>
      <x:c r="H26"/>
      <x:c r="I26"/>
      <x:c r="J26"/>
    </x:row>
    <x:row r="27">
      <x:c r="A27"/>
      <x:c r="B27"/>
      <x:c r="C27"/>
      <x:c r="D27"/>
      <x:c r="E27"/>
      <x:c r="F27"/>
      <x:c r="G27"/>
      <x:c r="H27"/>
      <x:c r="I27"/>
      <x:c r="J27"/>
    </x:row>
    <x:row r="28">
      <x:c r="A28"/>
      <x:c r="B28"/>
      <x:c r="C28"/>
      <x:c r="D28"/>
      <x:c r="E28"/>
      <x:c r="F28"/>
      <x:c r="G28"/>
      <x:c r="H28"/>
      <x:c r="I28"/>
      <x:c r="J28"/>
    </x:row>
    <x:row r="29">
      <x:c r="A29"/>
      <x:c r="B29"/>
      <x:c r="C29"/>
      <x:c r="D29"/>
      <x:c r="E29"/>
      <x:c r="F29"/>
      <x:c r="G29"/>
      <x:c r="H29"/>
      <x:c r="I29"/>
      <x:c r="J29"/>
    </x:row>
    <x:row r="30">
      <x:c r="A30"/>
      <x:c r="B30"/>
      <x:c r="C30"/>
      <x:c r="D30"/>
      <x:c r="E30"/>
      <x:c r="F30"/>
      <x:c r="G30"/>
      <x:c r="H30"/>
      <x:c r="I30"/>
      <x:c r="J30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2d151d17bf6445d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24" hidden="0" customWidth="1"/>
    <x:col min="4" max="4" width="22" hidden="0" customWidth="1"/>
    <x:col min="5" max="5" width="24" hidden="0" customWidth="1"/>
    <x:col min="6" max="6" width="22" hidden="0" customWidth="1"/>
    <x:col min="7" max="7" width="24" hidden="0" customWidth="1"/>
    <x:col min="8" max="8" width="22" hidden="0" customWidth="1"/>
    <x:col min="9" max="9" width="18" hidden="0" customWidth="1"/>
    <x:col min="10" max="10" width="18" hidden="0" customWidth="1"/>
    <x:col min="11" max="11" width="34" hidden="0" customWidth="1"/>
    <x:col min="12" max="12" width="50" hidden="0" customWidth="1"/>
    <x:col min="13" max="13" width="54" hidden="0" customWidth="1"/>
    <x:col min="14" max="14" width="52" hidden="0" customWidth="1"/>
  </x:cols>
  <x:sheetData>
    <x:row r="1" ht="15" hidden="0" customHeight="1">
      <x:c r="A1" s="38" t="str">
        <x:v>V17 橫向聯絡補查｜Cake / GitHub / 公開個人網站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</x:row>
    <x:row r="2" ht="15" hidden="0" customHeight="1">
      <x:c r="A2" s="34" t="str">
        <x:v>只對17位Direct執行。FOUND需姓名＋公司/技能/經歷錨點；Cake只作輔助來源；GitHub不查commit metadata；同名或通用頁全部排除。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</x:row>
    <x:row r="3" ht="34" hidden="0" customHeight="1">
      <x:c r="A3" s="39" t="str">
        <x:v>姓名</x:v>
      </x:c>
      <x:c r="B3" s="39" t="str">
        <x:v>公司錨點</x:v>
      </x:c>
      <x:c r="C3" s="39" t="str">
        <x:v>Cake狀態</x:v>
      </x:c>
      <x:c r="D3" s="39" t="str">
        <x:v>Cake URL</x:v>
      </x:c>
      <x:c r="E3" s="39" t="str">
        <x:v>GitHub狀態</x:v>
      </x:c>
      <x:c r="F3" s="39" t="str">
        <x:v>GitHub URL</x:v>
      </x:c>
      <x:c r="G3" s="39" t="str">
        <x:v>個站狀態</x:v>
      </x:c>
      <x:c r="H3" s="39" t="str">
        <x:v>個站URL</x:v>
      </x:c>
      <x:c r="I3" s="39" t="str">
        <x:v>新增Email</x:v>
      </x:c>
      <x:c r="J3" s="39" t="str">
        <x:v>新增電話</x:v>
      </x:c>
      <x:c r="K3" s="39" t="str">
        <x:v>身分判斷</x:v>
      </x:c>
      <x:c r="L3" s="39" t="str">
        <x:v>False Positive / 噪音</x:v>
      </x:c>
      <x:c r="M3" s="39" t="str">
        <x:v>下一次重啟條件</x:v>
      </x:c>
      <x:c r="N3" s="39" t="str">
        <x:v>LinkedIn證據</x:v>
      </x:c>
    </x:row>
    <x:row r="4" ht="15" hidden="0" customHeight="1">
      <x:c r="A4" s="33"/>
      <x:c r="B4" s="33"/>
      <x:c r="C4" s="33"/>
      <x:c r="D4" s="33" t="str">
        <x:v>Qualified後才查</x:v>
      </x:c>
      <x:c r="E4" s="33" t="str">
        <x:v>NOT_STARTED</x:v>
      </x:c>
      <x:c r="F4" s="33"/>
      <x:c r="G4" s="33"/>
      <x:c r="H4" s="33" t="str">
        <x:v>NOT_STARTED</x:v>
      </x:c>
      <x:c r="I4" s="33"/>
      <x:c r="J4" s="33"/>
      <x:c r="K4" s="33" t="str">
        <x:v>NOT_STARTED</x:v>
      </x:c>
      <x:c r="L4" s="33"/>
      <x:c r="M4" s="33"/>
      <x:c r="N4" s="33"/>
      <x:c r="O4"/>
      <x:c r="P4" t="str">
        <x:v>等待合格人選</x:v>
      </x:c>
      <x:c r="Q4"/>
    </x:row>
    <x:row r="5" ht="15" hidden="0" customHeight="1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/>
      <x:c r="P5"/>
      <x:c r="Q5"/>
    </x:row>
    <x:row r="6" ht="24" hidden="0" customHeight="1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/>
      <x:c r="P6"/>
      <x:c r="Q6"/>
    </x:row>
    <x:row r="7" ht="24" hidden="0" customHeight="1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/>
      <x:c r="P7"/>
      <x:c r="Q7"/>
    </x:row>
    <x:row r="8" ht="24" hidden="0" customHeight="1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/>
      <x:c r="P8"/>
      <x:c r="Q8"/>
    </x:row>
    <x:row r="9" ht="24" hidden="0" customHeight="1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/>
      <x:c r="P9"/>
      <x:c r="Q9"/>
    </x:row>
    <x:row r="10" ht="24" hidden="0" customHeight="1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/>
      <x:c r="P10"/>
      <x:c r="Q10"/>
    </x:row>
    <x:row r="11" ht="15" hidden="0" customHeight="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/>
      <x:c r="P11"/>
      <x:c r="Q11"/>
    </x:row>
    <x:row r="12" ht="15" hidden="0" customHeight="1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/>
      <x:c r="P12"/>
      <x:c r="Q12"/>
    </x:row>
    <x:row r="13" ht="15" hidden="0" customHeight="1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/>
      <x:c r="P13"/>
      <x:c r="Q13"/>
    </x:row>
    <x:row r="14" ht="15" hidden="0" customHeight="1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/>
      <x:c r="P14"/>
      <x:c r="Q14"/>
    </x:row>
    <x:row r="15" ht="15" hidden="0" customHeight="1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/>
      <x:c r="P15"/>
      <x:c r="Q15"/>
    </x:row>
    <x:row r="16" ht="15" hidden="0" customHeight="1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/>
      <x:c r="P16"/>
      <x:c r="Q16"/>
    </x:row>
    <x:row r="17" ht="15" hidden="0" customHeight="1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/>
      <x:c r="P17"/>
      <x:c r="Q17"/>
    </x:row>
    <x:row r="18" ht="15" hidden="0" customHeight="1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/>
      <x:c r="P18"/>
      <x:c r="Q18"/>
    </x:row>
    <x:row r="19" ht="15" hidden="0" customHeight="1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/>
      <x:c r="P19"/>
      <x:c r="Q19"/>
    </x:row>
    <x:row r="20" ht="24" hidden="0" customHeight="1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/>
      <x:c r="P20"/>
      <x:c r="Q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</x:row>
  </x:sheetData>
  <x:mergeCells>
    <x:mergeCell ref="A1:N1"/>
    <x:mergeCell ref="A2:N2"/>
  </x:mergeCells>
  <x:conditionalFormatting sqref="K4:K20">
    <x:cfRule type="containsText" dxfId="4" priority="1" operator="containsText" text="NO_VERIFIED"/>
  </x:conditionalFormatting>
  <x:pageMargins left="0.7" right="0.7" top="0.75" bottom="0.75" header="0.3" footer="0.3"/>
  <x:tableParts count="1">
    <x:tablePart xmlns:r="http://schemas.openxmlformats.org/officeDocument/2006/relationships" r:id="R526405547fb64522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6" hidden="0" customWidth="1"/>
    <x:col min="3" max="3" width="34" hidden="0" customWidth="1"/>
    <x:col min="4" max="4" width="48" hidden="0" customWidth="1"/>
    <x:col min="5" max="5" width="34" hidden="0" customWidth="1"/>
    <x:col min="6" max="6" width="34" hidden="0" customWidth="1"/>
    <x:col min="7" max="7" width="42" hidden="0" customWidth="1"/>
    <x:col min="8" max="8" width="44" hidden="0" customWidth="1"/>
    <x:col min="9" max="9" width="32" hidden="0" customWidth="1"/>
    <x:col min="10" max="10" width="38" hidden="0" customWidth="1"/>
  </x:cols>
  <x:sheetData>
    <x:row r="1" ht="15" hidden="0" customHeight="1">
      <x:c r="A1" s="38" t="str">
        <x:v>Job Strategy Router V1｜10類人才生態</x:v>
      </x:c>
      <x:c r="B1" s="38"/>
      <x:c r="C1" s="38"/>
      <x:c r="D1" s="38"/>
      <x:c r="E1" s="38"/>
      <x:c r="F1" s="38"/>
      <x:c r="G1" s="38"/>
      <x:c r="H1" s="38"/>
      <x:c r="I1" s="38"/>
      <x:c r="J1" s="38"/>
    </x:row>
    <x:row r="2" ht="15" hidden="0" customHeight="1">
      <x:c r="A2" s="34" t="str">
        <x:v>固定框架，不固定平台。每個JD先選Primary/Secondary，再疊加職級、工作型態、證據模式與Overlays，最後才產生來源與聯絡策略。</x:v>
      </x:c>
      <x:c r="B2" s="34"/>
      <x:c r="C2" s="34"/>
      <x:c r="D2" s="34"/>
      <x:c r="E2" s="34"/>
      <x:c r="F2" s="34"/>
      <x:c r="G2" s="34"/>
      <x:c r="H2" s="34"/>
      <x:c r="I2" s="34"/>
      <x:c r="J2" s="34"/>
    </x:row>
    <x:row r="3" ht="34" hidden="0" customHeight="1">
      <x:c r="A3" s="39" t="str">
        <x:v>Route Code</x:v>
      </x:c>
      <x:c r="B3" s="39" t="str">
        <x:v>人才生態</x:v>
      </x:c>
      <x:c r="C3" s="39" t="str">
        <x:v>主要職缺</x:v>
      </x:c>
      <x:c r="D3" s="39" t="str">
        <x:v>高價值公開證據</x:v>
      </x:c>
      <x:c r="E3" s="39" t="str">
        <x:v>來源優先1</x:v>
      </x:c>
      <x:c r="F3" s="39" t="str">
        <x:v>來源優先2</x:v>
      </x:c>
      <x:c r="G3" s="39" t="str">
        <x:v>聯絡優先</x:v>
      </x:c>
      <x:c r="H3" s="39" t="str">
        <x:v>典型錨點</x:v>
      </x:c>
      <x:c r="I3" s="39" t="str">
        <x:v>通常低效來源</x:v>
      </x:c>
      <x:c r="J3" s="39" t="str">
        <x:v>主要風險</x:v>
      </x:c>
    </x:row>
    <x:row r="4" ht="15" hidden="0" customHeight="1">
      <x:c r="A4" s="33" t="str">
        <x:v>ENG_CONSTRUCTION</x:v>
      </x:c>
      <x:c r="B4" s="33" t="str">
        <x:v>工程/營建/製造</x:v>
      </x:c>
      <x:c r="C4" s="33" t="str">
        <x:v>BIM、土木、MEP、廠務</x:v>
      </x:c>
      <x:c r="D4" s="33" t="str">
        <x:v>專案、標案、公司案例、技術活動</x:v>
      </x:c>
      <x:c r="E4" s="33" t="str">
        <x:v>專案/標案/得標公司</x:v>
      </x:c>
      <x:c r="F4" s="33" t="str">
        <x:v>目標公司/活動/證照</x:v>
      </x:c>
      <x:c r="G4" s="33" t="str">
        <x:v>專業Email→電話→社群→公司轉介</x:v>
      </x:c>
      <x:c r="H4" s="33" t="str">
        <x:v>公司+專案+工具+地點+時間</x:v>
      </x:c>
      <x:c r="I4" s="33" t="str">
        <x:v>通用Cake/GitHub</x:v>
      </x:c>
      <x:c r="J4" s="33" t="str">
        <x:v>把主管/教授誤當IC</x:v>
      </x:c>
    </x:row>
    <x:row r="5" ht="15" hidden="0" customHeight="1">
      <x:c r="A5" s="33" t="str">
        <x:v>SOFTWARE_DATA</x:v>
      </x:c>
      <x:c r="B5" s="33" t="str">
        <x:v>軟體/資料/技術</x:v>
      </x:c>
      <x:c r="C5" s="33" t="str">
        <x:v>軟體、資料、雲端、產品工程</x:v>
      </x:c>
      <x:c r="D5" s="33" t="str">
        <x:v>Repo、套件、技術文章、演講</x:v>
      </x:c>
      <x:c r="E5" s="33" t="str">
        <x:v>GitHub/套件/技術內容</x:v>
      </x:c>
      <x:c r="F5" s="33" t="str">
        <x:v>社群/活動/公司Alumni</x:v>
      </x:c>
      <x:c r="G5" s="33" t="str">
        <x:v>Profile Email→個站→社群→公司轉介</x:v>
      </x:c>
      <x:c r="H5" s="33" t="str">
        <x:v>Username+Repo+公司+技術+時間</x:v>
      </x:c>
      <x:c r="I5" s="33" t="str">
        <x:v>無技術輸出的名冊</x:v>
      </x:c>
      <x:c r="J5" s="33" t="str">
        <x:v>同名帳號/commit資料誤用</x:v>
      </x:c>
    </x:row>
    <x:row r="6" ht="15" hidden="0" customHeight="1">
      <x:c r="A6" s="33" t="str">
        <x:v>CREATIVE_CONTENT</x:v>
      </x:c>
      <x:c r="B6" s="33" t="str">
        <x:v>影音/設計/品牌內容</x:v>
      </x:c>
      <x:c r="C6" s="33" t="str">
        <x:v>影音剪輯、社群、設計</x:v>
      </x:c>
      <x:c r="D6" s="33" t="str">
        <x:v>作品集、品牌署名、公開頻道、獎項</x:v>
      </x:c>
      <x:c r="E6" s="33" t="str">
        <x:v>作品/公開內容/品牌案例</x:v>
      </x:c>
      <x:c r="F6" s="33" t="str">
        <x:v>Agency/活動/接案作品</x:v>
      </x:c>
      <x:c r="G6" s="33" t="str">
        <x:v>商務Email→個站→電話→DM</x:v>
      </x:c>
      <x:c r="H6" s="33" t="str">
        <x:v>Handle+作品+客戶+地點+時間</x:v>
      </x:c>
      <x:c r="I6" s="33" t="str">
        <x:v>純證照榜單</x:v>
      </x:c>
      <x:c r="J6" s="33" t="str">
        <x:v>作品歸屬不清</x:v>
      </x:c>
    </x:row>
    <x:row r="7" ht="15" hidden="0" customHeight="1">
      <x:c r="A7" s="33" t="str">
        <x:v>CREATOR_LIVESTREAM</x:v>
      </x:c>
      <x:c r="B7" s="33" t="str">
        <x:v>直播/主持/公開創作者</x:v>
      </x:c>
      <x:c r="C7" s="33" t="str">
        <x:v>直播主、主持、表演</x:v>
      </x:c>
      <x:c r="D7" s="33" t="str">
        <x:v>活躍帳號、直播片段、合作紀錄</x:v>
      </x:c>
      <x:c r="E7" s="33" t="str">
        <x:v>公開直播/短影音帳號</x:v>
      </x:c>
      <x:c r="F7" s="33" t="str">
        <x:v>創作者社群/公會/合作名單</x:v>
      </x:c>
      <x:c r="G7" s="33" t="str">
        <x:v>商務Email→工作電話→平台DM→公會</x:v>
      </x:c>
      <x:c r="H7" s="33" t="str">
        <x:v>自連帳號+Handle+內容+地點+近期性</x:v>
      </x:c>
      <x:c r="I7" s="33" t="str">
        <x:v>學術/公司員工頁</x:v>
      </x:c>
      <x:c r="J7" s="33" t="str">
        <x:v>外貌/年齡等非法篩選</x:v>
      </x:c>
    </x:row>
    <x:row r="8" ht="15" hidden="0" customHeight="1">
      <x:c r="A8" s="33" t="str">
        <x:v>SALES_OPERATIONS</x:v>
      </x:c>
      <x:c r="B8" s="33" t="str">
        <x:v>業務/營運/管理</x:v>
      </x:c>
      <x:c r="C8" s="33" t="str">
        <x:v>業務、AM、營運、一般管理</x:v>
      </x:c>
      <x:c r="D8" s="33" t="str">
        <x:v>公司新聞、展覽、客戶案例、講者</x:v>
      </x:c>
      <x:c r="E8" s="33" t="str">
        <x:v>目標公司/展覽/協會</x:v>
      </x:c>
      <x:c r="F8" s="33" t="str">
        <x:v>案例/活動/Alumni</x:v>
      </x:c>
      <x:c r="G8" s="33" t="str">
        <x:v>工作Email→社群→公司轉介→電話</x:v>
      </x:c>
      <x:c r="H8" s="33" t="str">
        <x:v>公司+市場+客戶+職能+時間</x:v>
      </x:c>
      <x:c r="I8" s="33" t="str">
        <x:v>GitHub/學術頁</x:v>
      </x:c>
      <x:c r="J8" s="33" t="str">
        <x:v>職級與薪資錯配</x:v>
      </x:c>
    </x:row>
    <x:row r="9" ht="15" hidden="0" customHeight="1">
      <x:c r="A9" s="33" t="str">
        <x:v>CROSS_BORDER_EXEC_SUPPORT</x:v>
      </x:c>
      <x:c r="B9" s="33" t="str">
        <x:v>跨國特助/雙語機密支援</x:v>
      </x:c>
      <x:c r="C9" s="33" t="str">
        <x:v>特助、秘書、口譯</x:v>
      </x:c>
      <x:c r="D9" s="33" t="str">
        <x:v>語言、主管支援、海外經歷、雙語活動</x:v>
      </x:c>
      <x:c r="E9" s="33" t="str">
        <x:v>雙語公司/口譯商會/校友</x:v>
      </x:c>
      <x:c r="F9" s="33" t="str">
        <x:v>旅宿/渡假村/Executive Office Alumni</x:v>
      </x:c>
      <x:c r="G9" s="33" t="str">
        <x:v>專業Email→LinkedIn→公開LINE/社群→轉介</x:v>
      </x:c>
      <x:c r="H9" s="33" t="str">
        <x:v>語言+公司+支援任務+地點+時間</x:v>
      </x:c>
      <x:c r="I9" s="33" t="str">
        <x:v>通用作品站</x:v>
      </x:c>
      <x:c r="J9" s="33" t="str">
        <x:v>把特助誤判為管理職</x:v>
      </x:c>
    </x:row>
    <x:row r="10" ht="15" hidden="0" customHeight="1">
      <x:c r="A10" s="33" t="str">
        <x:v>LICENSED_HEALTHCARE</x:v>
      </x:c>
      <x:c r="B10" s="33" t="str">
        <x:v>醫療/照護/臨床</x:v>
      </x:c>
      <x:c r="C10" s="33" t="str">
        <x:v>護理、治療、臨床職</x:v>
      </x:c>
      <x:c r="D10" s="33" t="str">
        <x:v>合法公開執照、醫療團隊、進修、臨床現職</x:v>
      </x:c>
      <x:c r="E10" s="33" t="str">
        <x:v>執照/協會/醫療機構</x:v>
      </x:c>
      <x:c r="F10" s="33" t="str">
        <x:v>進修/校友/專業社群</x:v>
      </x:c>
      <x:c r="G10" s="33" t="str">
        <x:v>專業Email/電話→社群→診所/協會轉介</x:v>
      </x:c>
      <x:c r="H10" s="33" t="str">
        <x:v>執照+雇主+專科+地點+時間</x:v>
      </x:c>
      <x:c r="I10" s="33" t="str">
        <x:v>GitHub/創作者平台</x:v>
      </x:c>
      <x:c r="J10" s="33" t="str">
        <x:v>碰觸病歷/非公開名冊</x:v>
      </x:c>
    </x:row>
    <x:row r="11" ht="15" hidden="0" customHeight="1">
      <x:c r="A11" s="33" t="str">
        <x:v>SKILLED_TRADES</x:v>
      </x:c>
      <x:c r="B11" s="33" t="str">
        <x:v>技術員/操作/現場技能</x:v>
      </x:c>
      <x:c r="C11" s="33" t="str">
        <x:v>維修、操作、技師、現場工種</x:v>
      </x:c>
      <x:c r="D11" s="33" t="str">
        <x:v>職訓、技能競賽、承包商、證照、工地</x:v>
      </x:c>
      <x:c r="E11" s="33" t="str">
        <x:v>職訓/證照/競賽</x:v>
      </x:c>
      <x:c r="F11" s="33" t="str">
        <x:v>承包商/公會/Referral</x:v>
      </x:c>
      <x:c r="G11" s="33" t="str">
        <x:v>工作電話→Email→社群→承包商轉介</x:v>
      </x:c>
      <x:c r="H11" s="33" t="str">
        <x:v>證照+承包商+設備+地點+時間</x:v>
      </x:c>
      <x:c r="I11" s="33" t="str">
        <x:v>白領作品網站</x:v>
      </x:c>
      <x:c r="J11" s="33" t="str">
        <x:v>人選公開足跡低</x:v>
      </x:c>
    </x:row>
    <x:row r="12" ht="15" hidden="0" customHeight="1">
      <x:c r="A12" s="33" t="str">
        <x:v>ACADEMIC_RESEARCH</x:v>
      </x:c>
      <x:c r="B12" s="33" t="str">
        <x:v>學術/科學/研發</x:v>
      </x:c>
      <x:c r="C12" s="33" t="str">
        <x:v>研究員、科學家、學術研發</x:v>
      </x:c>
      <x:c r="D12" s="33" t="str">
        <x:v>論文、專利、實驗室、研討會、ORCID</x:v>
      </x:c>
      <x:c r="E12" s="33" t="str">
        <x:v>論文/專利/實驗室</x:v>
      </x:c>
      <x:c r="F12" s="33" t="str">
        <x:v>研討會/學會/Grant</x:v>
      </x:c>
      <x:c r="G12" s="33" t="str">
        <x:v>機構Email→Lab/ORCID→社群→機構轉介</x:v>
      </x:c>
      <x:c r="H12" s="33" t="str">
        <x:v>機構+主題+共同作者+時間+學位</x:v>
      </x:c>
      <x:c r="I12" s="33" t="str">
        <x:v>娛樂/創作者平台</x:v>
      </x:c>
      <x:c r="J12" s="33" t="str">
        <x:v>學術資深度與產業Fit錯配</x:v>
      </x:c>
    </x:row>
    <x:row r="13" ht="15" hidden="0" customHeight="1">
      <x:c r="A13" s="33" t="str">
        <x:v>CERTIFIED_PROFESSIONAL</x:v>
      </x:c>
      <x:c r="B13" s="33" t="str">
        <x:v>其他證照專業</x:v>
      </x:c>
      <x:c r="C13" s="33" t="str">
        <x:v>會計、技師、受規範專業</x:v>
      </x:c>
      <x:c r="D13" s="33" t="str">
        <x:v>官方名冊、專業公會、進修、執業頁</x:v>
      </x:c>
      <x:c r="E13" s="33" t="str">
        <x:v>證照/執照/公會</x:v>
      </x:c>
      <x:c r="F13" s="33" t="str">
        <x:v>進修/講者/執業團隊</x:v>
      </x:c>
      <x:c r="G13" s="33" t="str">
        <x:v>專業Email/電話→Profile→公會轉介</x:v>
      </x:c>
      <x:c r="H13" s="33" t="str">
        <x:v>證照+管轄+雇主+專業+時間</x:v>
      </x:c>
      <x:c r="I13" s="33" t="str">
        <x:v>無錨點社群</x:v>
      </x:c>
      <x:c r="J13" s="33" t="str">
        <x:v>證照過期/同名誤認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1dfd79d2e3624dfb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0" hidden="0" customWidth="1"/>
    <x:col min="3" max="3" width="34" hidden="0" customWidth="1"/>
    <x:col min="4" max="4" width="24" hidden="0" customWidth="1"/>
    <x:col min="5" max="5" width="34" hidden="0" customWidth="1"/>
    <x:col min="6" max="6" width="34" hidden="0" customWidth="1"/>
    <x:col min="7" max="7" width="48" hidden="0" customWidth="1"/>
    <x:col min="8" max="8" width="62" hidden="0" customWidth="1"/>
    <x:col min="9" max="9" width="62" hidden="0" customWidth="1"/>
    <x:col min="10" max="10" width="54" hidden="0" customWidth="1"/>
    <x:col min="11" max="11" width="54" hidden="0" customWidth="1"/>
    <x:col min="12" max="12" width="52" hidden="0" customWidth="1"/>
    <x:col min="13" max="13" width="54" hidden="0" customWidth="1"/>
    <x:col min="14" max="14" width="14" hidden="0" customWidth="1"/>
    <x:col min="15" max="15" width="54" hidden="0" customWidth="1"/>
  </x:cols>
  <x:sheetData>
    <x:row r="1" ht="15" hidden="0" customHeight="1">
      <x:c r="A1" s="38" t="str">
        <x:v>Router V1實測｜5個Step1ne職缺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</x:row>
    <x:row r="2" ht="15" hidden="0" customHeight="1">
      <x:c r="A2" s="37" t="str">
        <x:v>PASS代表路由能產生職缺專屬策略，不代表已完成Candidate sourcing。Source URL是本輪JD判斷依據。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</x:row>
    <x:row r="3" ht="34" hidden="0" customHeight="1">
      <x:c r="A3" s="39" t="str">
        <x:v>職缺</x:v>
      </x:c>
      <x:c r="B3" s="39" t="str">
        <x:v>Primary</x:v>
      </x:c>
      <x:c r="C3" s="39" t="str">
        <x:v>Secondary</x:v>
      </x:c>
      <x:c r="D3" s="39" t="str">
        <x:v>職級</x:v>
      </x:c>
      <x:c r="E3" s="39" t="str">
        <x:v>工作型態</x:v>
      </x:c>
      <x:c r="F3" s="39" t="str">
        <x:v>Evidence Mode</x:v>
      </x:c>
      <x:c r="G3" s="39" t="str">
        <x:v>關鍵Overlays</x:v>
      </x:c>
      <x:c r="H3" s="39" t="str">
        <x:v>Hard Gate</x:v>
      </x:c>
      <x:c r="I3" s="39" t="str">
        <x:v>高優先來源</x:v>
      </x:c>
      <x:c r="J3" s="39" t="str">
        <x:v>身份錨點</x:v>
      </x:c>
      <x:c r="K3" s="39" t="str">
        <x:v>Contact Waterfall</x:v>
      </x:c>
      <x:c r="L3" s="39" t="str">
        <x:v>低效/禁止</x:v>
      </x:c>
      <x:c r="M3" s="39" t="str">
        <x:v>Stop/Reroute</x:v>
      </x:c>
      <x:c r="N3" s="39" t="str">
        <x:v>測試結果</x:v>
      </x:c>
      <x:c r="O3" s="39" t="str">
        <x:v>JD URL</x:v>
      </x:c>
    </x:row>
    <x:row r="4" ht="24" hidden="0" customHeight="1">
      <x:c r="A4" s="33" t="str">
        <x:v>BIM工程師</x:v>
      </x:c>
      <x:c r="B4" s="33" t="str">
        <x:v>ENG_CONSTRUCTION</x:v>
      </x:c>
      <x:c r="C4" s="33" t="str">
        <x:v>SOFTWARE_DATA（只限API/Dynamo）</x:v>
      </x:c>
      <x:c r="D4" s="33" t="str">
        <x:v>Junior/Mid IC</x:v>
      </x:c>
      <x:c r="E4" s="33" t="str">
        <x:v>Permanent+Onsite</x:v>
      </x:c>
      <x:c r="F4" s="33" t="str">
        <x:v>Project+Role+Certification</x:v>
      </x:c>
      <x:c r="G4" s="33" t="str">
        <x:v>SHIFT_OR_ATTENDANCE; FIELDWORK; LOCATION; COMPENSATION</x:v>
      </x:c>
      <x:c r="H4" s="33" t="str">
        <x:v>Revit/BIM hands-on、大學、苗栗到班、薪資/駕照待確認</x:v>
      </x:c>
      <x:c r="I4" s="33" t="str">
        <x:v>專案/標案→公司BIM中心→Autodesk活動/案例→課程/證照→Alumni</x:v>
      </x:c>
      <x:c r="J4" s="33" t="str">
        <x:v>公司+專案+Revit/MEP+地點+時間</x:v>
      </x:c>
      <x:c r="K4" s="33" t="str">
        <x:v>專業Email→技術作者/講者電話或社群→公司轉介</x:v>
      </x:c>
      <x:c r="L4" s="33" t="str">
        <x:v>通用Cake/GitHub低效；禁止猜Email</x:v>
      </x:c>
      <x:c r="M4" s="33" t="str">
        <x:v>新公司/專案/Username/API作品出現才重啟</x:v>
      </x:c>
      <x:c r="N4" s="33" t="str">
        <x:v>PASS</x:v>
      </x:c>
      <x:c r="O4" s="33" t="str">
        <x:v>https://step1ne.com/jobs/bim-engineer/</x:v>
      </x:c>
    </x:row>
    <x:row r="5" ht="24" hidden="0" customHeight="1">
      <x:c r="A5" s="33" t="str">
        <x:v>在家直播主</x:v>
      </x:c>
      <x:c r="B5" s="33" t="str">
        <x:v>CREATOR_LIVESTREAM</x:v>
      </x:c>
      <x:c r="C5" s="33" t="str">
        <x:v>CREATIVE_CONTENT</x:v>
      </x:c>
      <x:c r="D5" s="33" t="str">
        <x:v>Entry/Mixed</x:v>
      </x:c>
      <x:c r="E5" s="33" t="str">
        <x:v>Contractor+Remote+Volume</x:v>
      </x:c>
      <x:c r="F5" s="33" t="str">
        <x:v>Public-content+Platform</x:v>
      </x:c>
      <x:c r="G5" s="33" t="str">
        <x:v>CONTRACTOR_ECONOMICS; PUBLIC_PERSONA; PLATFORM; VOLUME_HIRING</x:v>
      </x:c>
      <x:c r="H5" s="33" t="str">
        <x:v>台胞證、外幣收款帳戶、直播時數/天數、居家設備、接受承攬</x:v>
      </x:c>
      <x:c r="I5" s="33" t="str">
        <x:v>公開直播/短影音帳號→創作者合作/公會→主持/表演/校園創作者→Referral</x:v>
      </x:c>
      <x:c r="J5" s="33" t="str">
        <x:v>自連帳號+一致Handle+直播內容+地點+近期性</x:v>
      </x:c>
      <x:c r="K5" s="33" t="str">
        <x:v>商務Email/Link page→工作電話→平台DM→公會轉介</x:v>
      </x:c>
      <x:c r="L5" s="33" t="str">
        <x:v>學術來源低效；禁止外貌/年齡/性別非法篩選</x:v>
      </x:c>
      <x:c r="M5" s="33" t="str">
        <x:v>帳號不活躍或身份無法交叉即停；新Handle/合作紀錄才重啟</x:v>
      </x:c>
      <x:c r="N5" s="33" t="str">
        <x:v>PASS</x:v>
      </x:c>
      <x:c r="O5" s="33" t="str">
        <x:v>https://step1ne.com/jobs/live-streamer-home/</x:v>
      </x:c>
    </x:row>
    <x:row r="6" ht="24" hidden="0" customHeight="1">
      <x:c r="A6" s="33" t="str">
        <x:v>日本常駐主管特助</x:v>
      </x:c>
      <x:c r="B6" s="33" t="str">
        <x:v>CROSS_BORDER_EXEC_SUPPORT</x:v>
      </x:c>
      <x:c r="C6" s="33" t="str">
        <x:v>SALES_OPERATIONS</x:v>
      </x:c>
      <x:c r="D6" s="33" t="str">
        <x:v>Mid IC（非管理職）</x:v>
      </x:c>
      <x:c r="E6" s="33" t="str">
        <x:v>Contract+Overseas+Onsite</x:v>
      </x:c>
      <x:c r="F6" s="33" t="str">
        <x:v>Language+Role+Overseas</x:v>
      </x:c>
      <x:c r="G6" s="33" t="str">
        <x:v>LANGUAGE_HARD_GATE; OVERSEAS_RELOCATION; WORK_AUTH; CONFIDENTIAL_ROLE; DRIVING</x:v>
      </x:c>
      <x:c r="H6" s="33" t="str">
        <x:v>N1/N2實務、2–3年支援/口譯、大學、長住日本、良民證/NDA</x:v>
      </x:c>
      <x:c r="I6" s="33" t="str">
        <x:v>日台雙語公司/商會→口譯秘書網絡→日本校友→旅宿/渡假村→Executive Office Alumni</x:v>
      </x:c>
      <x:c r="J6" s="33" t="str">
        <x:v>語言+公司+支援任務+日本地點+時間</x:v>
      </x:c>
      <x:c r="K6" s="33" t="str">
        <x:v>專業Email→LinkedIn→本人公開LINE/社群→保密轉介</x:v>
      </x:c>
      <x:c r="L6" s="33" t="str">
        <x:v>一般主管名冊不等於目標；作品站通常低效</x:v>
      </x:c>
      <x:c r="M6" s="33" t="str">
        <x:v>無語言/日本/支援錨點即停；新雇主或海外經歷才重啟</x:v>
      </x:c>
      <x:c r="N6" s="33" t="str">
        <x:v>PASS</x:v>
      </x:c>
      <x:c r="O6" s="33" t="str">
        <x:v>https://step1ne.com/jobs/executive-assistant-japan-taiwan/</x:v>
      </x:c>
    </x:row>
    <x:row r="7" ht="24" hidden="0" customHeight="1">
      <x:c r="A7" s="33" t="str">
        <x:v>品牌社群影音編輯</x:v>
      </x:c>
      <x:c r="B7" s="33" t="str">
        <x:v>CREATIVE_CONTENT</x:v>
      </x:c>
      <x:c r="C7" s="33" t="str">
        <x:v>SALES_OPERATIONS</x:v>
      </x:c>
      <x:c r="D7" s="33" t="str">
        <x:v>Mid IC</x:v>
      </x:c>
      <x:c r="E7" s="33" t="str">
        <x:v>Permanent+Onsite</x:v>
      </x:c>
      <x:c r="F7" s="33" t="str">
        <x:v>Portfolio+Public-content+Role</x:v>
      </x:c>
      <x:c r="G7" s="33" t="str">
        <x:v>PORTFOLIO_REQUIRED; SHIFT_OR_ATTENDANCE; MOTORCYCLE_BONUS</x:v>
      </x:c>
      <x:c r="H7" s="33" t="str">
        <x:v>3年以上、專科、短影音剪輯、基礎美編、英文中等；重機照加分</x:v>
      </x:c>
      <x:c r="I7" s="33" t="str">
        <x:v>IG/TikTok/YT/Vimeo/Behance→品牌署名→代理商/Agency團隊→影音活動/獎項→接案作品</x:v>
      </x:c>
      <x:c r="J7" s="33" t="str">
        <x:v>Handle+本人作品+品牌客戶+工具+地點+時間</x:v>
      </x:c>
      <x:c r="K7" s="33" t="str">
        <x:v>商務Email→個站/Portfolio→工作電話→Verified DM</x:v>
      </x:c>
      <x:c r="L7" s="33" t="str">
        <x:v>純職稱履歷不足；禁止把未署名作品歸本人</x:v>
      </x:c>
      <x:c r="M7" s="33" t="str">
        <x:v>作品無法歸屬即停；新作品/Handle/品牌Credit才重啟</x:v>
      </x:c>
      <x:c r="N7" s="33" t="str">
        <x:v>PASS</x:v>
      </x:c>
      <x:c r="O7" s="33" t="str">
        <x:v>https://step1ne.com/jobs/brand-social-video-editor-neihu/</x:v>
      </x:c>
    </x:row>
    <x:row r="8" ht="24" hidden="0" customHeight="1">
      <x:c r="A8" s="33" t="str">
        <x:v>診所護理師</x:v>
      </x:c>
      <x:c r="B8" s="33" t="str">
        <x:v>LICENSED_HEALTHCARE</x:v>
      </x:c>
      <x:c r="C8" s="33" t="str">
        <x:v>CERTIFIED_PROFESSIONAL</x:v>
      </x:c>
      <x:c r="D8" s="33" t="str">
        <x:v>Entry/Junior/Mixed</x:v>
      </x:c>
      <x:c r="E8" s="33" t="str">
        <x:v>Permanent+Onsite+Shift</x:v>
      </x:c>
      <x:c r="F8" s="33" t="str">
        <x:v>License+Clinical+Role</x:v>
      </x:c>
      <x:c r="G8" s="33" t="str">
        <x:v>LICENSE_REQUIRED; SHIFT_OR_ATTENDANCE; LOCATION</x:v>
      </x:c>
      <x:c r="H8" s="33" t="str">
        <x:v>依護理人員法須有護理人員證書並完成執業登記/執照；另確認內湖到班、排班與診所臨床工作</x:v>
      </x:c>
      <x:c r="I8" s="33" t="str">
        <x:v>合法公開執照/公協會→診所醫院團隊→繼續教育→護理校友→醫療專業社群</x:v>
      </x:c>
      <x:c r="J8" s="33" t="str">
        <x:v>執照/職類+雇主+臨床項目+地點+時間</x:v>
      </x:c>
      <x:c r="K8" s="33" t="str">
        <x:v>本人公開專業Email/電話→專業社群→診所/協會轉介</x:v>
      </x:c>
      <x:c r="L8" s="33" t="str">
        <x:v>GitHub/創作者平台低效；禁止病歷、內部名冊、非公開執照資料</x:v>
      </x:c>
      <x:c r="M8" s="33" t="str">
        <x:v>無執照/臨床/地點錨點即停；新現職/進修/執業資訊才重啟</x:v>
      </x:c>
      <x:c r="N8" s="33" t="str">
        <x:v>PASS</x:v>
      </x:c>
      <x:c r="O8" s="33" t="str">
        <x:v>https://step1ne.com/jobs/clinic-nurse-neihu/ ; https://law.moj.gov.tw/LawClass/LawAll.aspx?pcode=L0020166</x:v>
      </x:c>
    </x:row>
  </x:sheetData>
  <x:mergeCells>
    <x:mergeCell ref="A1:O1"/>
    <x:mergeCell ref="A2:O2"/>
  </x:mergeCells>
  <x:conditionalFormatting sqref="N4:N8">
    <x:cfRule type="containsText" dxfId="5" priority="1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78d9ef0162514889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38" hidden="0" customWidth="1"/>
    <x:col min="4" max="4" width="52" hidden="0" customWidth="1"/>
    <x:col min="5" max="5" width="42" hidden="0" customWidth="1"/>
    <x:col min="6" max="6" width="52" hidden="0" customWidth="1"/>
  </x:cols>
  <x:sheetData>
    <x:row r="1" ht="15" hidden="0" customHeight="1">
      <x:c r="A1" s="38" t="str">
        <x:v>Router Decision Rules｜本地AI不可跳過的判斷</x:v>
      </x:c>
      <x:c r="B1" s="38"/>
      <x:c r="C1" s="38"/>
      <x:c r="D1" s="38"/>
      <x:c r="E1" s="38"/>
      <x:c r="F1" s="38"/>
    </x:row>
    <x:row r="2" ht="15" hidden="0" customHeight="1">
      <x:c r="A2" s="33"/>
      <x:c r="B2" s="33"/>
      <x:c r="C2" s="33"/>
      <x:c r="D2" s="33"/>
      <x:c r="E2" s="33"/>
      <x:c r="F2" s="33"/>
    </x:row>
    <x:row r="3" ht="34" hidden="0" customHeight="1">
      <x:c r="A3" s="39" t="str">
        <x:v>Rule ID</x:v>
      </x:c>
      <x:c r="B3" s="39" t="str">
        <x:v>自動判斷</x:v>
      </x:c>
      <x:c r="C3" s="39" t="str">
        <x:v>輸出</x:v>
      </x:c>
      <x:c r="D3" s="39" t="str">
        <x:v>禁止行為</x:v>
      </x:c>
      <x:c r="E3" s="39" t="str">
        <x:v>失敗代碼</x:v>
      </x:c>
      <x:c r="F3" s="39" t="str">
        <x:v>人工確認</x:v>
      </x:c>
    </x:row>
    <x:row r="4" ht="15" hidden="0" customHeight="1">
      <x:c r="A4" s="33" t="str">
        <x:v>R-01</x:v>
      </x:c>
      <x:c r="B4" s="33" t="str">
        <x:v>未完成Primary Route</x:v>
      </x:c>
      <x:c r="C4" s="33" t="str">
        <x:v>停止找人</x:v>
      </x:c>
      <x:c r="D4" s="33" t="str">
        <x:v>複製上一職缺搜尋平台</x:v>
      </x:c>
      <x:c r="E4" s="33" t="str">
        <x:v>ROUTE_NOT_ASSIGNED</x:v>
      </x:c>
      <x:c r="F4" s="33" t="str">
        <x:v>確認JD是否完整</x:v>
      </x:c>
    </x:row>
    <x:row r="5" ht="15" hidden="0" customHeight="1">
      <x:c r="A5" s="33" t="str">
        <x:v>R-02</x:v>
      </x:c>
      <x:c r="B5" s="33" t="str">
        <x:v>另一生態能力證據≥約30%</x:v>
      </x:c>
      <x:c r="C5" s="33" t="str">
        <x:v>加入Secondary</x:v>
      </x:c>
      <x:c r="D5" s="33" t="str">
        <x:v>用職稱字面亂加分類</x:v>
      </x:c>
      <x:c r="E5" s="33" t="str">
        <x:v>SECONDARY_ROUTE_UNJUSTIFIED</x:v>
      </x:c>
      <x:c r="F5" s="33" t="str">
        <x:v>確認核心工作成果</x:v>
      </x:c>
    </x:row>
    <x:row r="6" ht="15" hidden="0" customHeight="1">
      <x:c r="A6" s="33" t="str">
        <x:v>R-03</x:v>
      </x:c>
      <x:c r="B6" s="33" t="str">
        <x:v>職稱含主管/特助</x:v>
      </x:c>
      <x:c r="C6" s="33" t="str">
        <x:v>依管理責任與薪資判職級</x:v>
      </x:c>
      <x:c r="D6" s="33" t="str">
        <x:v>把所有主管字樣視為管理職</x:v>
      </x:c>
      <x:c r="E6" s="33" t="str">
        <x:v>SENIORITY_TITLE_BIAS</x:v>
      </x:c>
      <x:c r="F6" s="33" t="str">
        <x:v>確認是否帶人/決策</x:v>
      </x:c>
    </x:row>
    <x:row r="7" ht="15" hidden="0" customHeight="1">
      <x:c r="A7" s="33" t="str">
        <x:v>R-04</x:v>
      </x:c>
      <x:c r="B7" s="33" t="str">
        <x:v>醫療/技師等受管制角色</x:v>
      </x:c>
      <x:c r="C7" s="33" t="str">
        <x:v>加LICENSE_REQUIRED</x:v>
      </x:c>
      <x:c r="D7" s="33" t="str">
        <x:v>只用社群自稱當證照</x:v>
      </x:c>
      <x:c r="E7" s="33" t="str">
        <x:v>LICENSE_NOT_VERIFIED</x:v>
      </x:c>
      <x:c r="F7" s="33" t="str">
        <x:v>確認執照種類/效期/管轄</x:v>
      </x:c>
    </x:row>
    <x:row r="8" ht="15" hidden="0" customHeight="1">
      <x:c r="A8" s="33" t="str">
        <x:v>R-05</x:v>
      </x:c>
      <x:c r="B8" s="33" t="str">
        <x:v>作品/公開內容是核心能力</x:v>
      </x:c>
      <x:c r="C8" s="33" t="str">
        <x:v>加PORTFOLIO或PUBLIC_PERSONA</x:v>
      </x:c>
      <x:c r="D8" s="33" t="str">
        <x:v>把高粉絲數當Job Fit</x:v>
      </x:c>
      <x:c r="E8" s="33" t="str">
        <x:v>PUBLICITY_SCORE_CONTAMINATION</x:v>
      </x:c>
      <x:c r="F8" s="33" t="str">
        <x:v>確認作品歸屬與實作角色</x:v>
      </x:c>
    </x:row>
    <x:row r="9" ht="15" hidden="0" customHeight="1">
      <x:c r="A9" s="33" t="str">
        <x:v>R-06</x:v>
      </x:c>
      <x:c r="B9" s="33" t="str">
        <x:v>海外/語言/保密</x:v>
      </x:c>
      <x:c r="C9" s="33" t="str">
        <x:v>加Relocation/Language/Confidential overlays</x:v>
      </x:c>
      <x:c r="D9" s="33" t="str">
        <x:v>由姓名國籍推定語言/工作權</x:v>
      </x:c>
      <x:c r="E9" s="33" t="str">
        <x:v>OVERLAY_NOT_CONFIRMED</x:v>
      </x:c>
      <x:c r="F9" s="33" t="str">
        <x:v>真人確認語言/簽證/搬遷/NDA</x:v>
      </x:c>
    </x:row>
    <x:row r="10" ht="15" hidden="0" customHeight="1">
      <x:c r="A10" s="33" t="str">
        <x:v>R-07</x:v>
      </x:c>
      <x:c r="B10" s="33" t="str">
        <x:v>完成Route-specific paths且無新錨點</x:v>
      </x:c>
      <x:c r="C10" s="33" t="str">
        <x:v>標記ROUTE_PATH_EXHAUSTED</x:v>
      </x:c>
      <x:c r="D10" s="33" t="str">
        <x:v>對同批人重複等價搜尋</x:v>
      </x:c>
      <x:c r="E10" s="33" t="str">
        <x:v>REPEATED_LOW_YIELD_SEARCH</x:v>
      </x:c>
      <x:c r="F10" s="33" t="str">
        <x:v>新公司/作品/Username等才重啟</x:v>
      </x:c>
    </x:row>
    <x:row r="11" ht="15" hidden="0" customHeight="1">
      <x:c r="A11" s="33" t="str">
        <x:v>R-08</x:v>
      </x:c>
      <x:c r="B11" s="33" t="str">
        <x:v>Qualified/Contactable不足</x:v>
      </x:c>
      <x:c r="C11" s="33" t="str">
        <x:v>回Source Expansion</x:v>
      </x:c>
      <x:c r="D11" s="33" t="str">
        <x:v>用查得到Email但不合適的人補量</x:v>
      </x:c>
      <x:c r="E11" s="33" t="str">
        <x:v>FAILED_CONTACT_RICH_BUT_JOB_MISMATCH</x:v>
      </x:c>
      <x:c r="F11" s="33" t="str">
        <x:v>調整來源量與Gate，不降標</x:v>
      </x:c>
    </x:row>
    <x:row r="12" ht="15" hidden="0" customHeight="1">
      <x:c r="A12" s="33" t="str">
        <x:v>R-09</x:v>
      </x:c>
      <x:c r="B12" s="33" t="str">
        <x:v>任何聯絡成果</x:v>
      </x:c>
      <x:c r="C12" s="33" t="str">
        <x:v>URL+身份錨點+公開性</x:v>
      </x:c>
      <x:c r="D12" s="33" t="str">
        <x:v>猜Gmail/電話/帳號或用外洩資料</x:v>
      </x:c>
      <x:c r="E12" s="33" t="str">
        <x:v>CONTACT_EVIDENCE_MISSING</x:v>
      </x:c>
      <x:c r="F12" s="33" t="str">
        <x:v>人工複查高價值聯絡方式</x:v>
      </x:c>
    </x:row>
    <x:row r="13" ht="15" hidden="0" customHeight="1">
      <x:c r="A13" s="33" t="str">
        <x:v>R-10</x:v>
      </x:c>
      <x:c r="B13" s="33" t="str">
        <x:v>每輪結束</x:v>
      </x:c>
      <x:c r="C13" s="33" t="str">
        <x:v>更新Source Score與Run Log</x:v>
      </x:c>
      <x:c r="D13" s="33" t="str">
        <x:v>只記成功不記查無/誤認</x:v>
      </x:c>
      <x:c r="E13" s="33" t="str">
        <x:v>AUDIT_TRAIL_INCOMPLETE</x:v>
      </x:c>
      <x:c r="F13" s="33" t="str">
        <x:v>抽查搜尋成本與錯誤率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91bd2e508cd4dea"/>
  </x:tableParts>
</x:worksheet>
</file>