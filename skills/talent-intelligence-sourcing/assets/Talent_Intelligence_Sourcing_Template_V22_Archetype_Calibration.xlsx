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d67cf792e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et Summary" sheetId="1" r:id="Rfa828b92292c408c"/>
    <x:sheet xmlns:r="http://schemas.openxmlformats.org/officeDocument/2006/relationships" name="01_Qualified Pool" sheetId="2" r:id="R4a86a964d605492a"/>
    <x:sheet xmlns:r="http://schemas.openxmlformats.org/officeDocument/2006/relationships" name="02_Contact Enrichment" sheetId="3" r:id="Re5a91e38a6f94611"/>
    <x:sheet xmlns:r="http://schemas.openxmlformats.org/officeDocument/2006/relationships" name="03_Rejected_Mismatch" sheetId="4" r:id="R1f2edd42d9764ec2"/>
    <x:sheet xmlns:r="http://schemas.openxmlformats.org/officeDocument/2006/relationships" name="04_Run Log" sheetId="5" r:id="R452ccc90b2724b38"/>
    <x:sheet xmlns:r="http://schemas.openxmlformats.org/officeDocument/2006/relationships" name="05_Talent DNA" sheetId="6" r:id="R82e239cbb3344be3"/>
    <x:sheet xmlns:r="http://schemas.openxmlformats.org/officeDocument/2006/relationships" name="06_Source Mix" sheetId="7" r:id="R7cfad4774208476e"/>
    <x:sheet xmlns:r="http://schemas.openxmlformats.org/officeDocument/2006/relationships" name="07_Prompt Rules" sheetId="8" r:id="Ra7562b92cb5d476d"/>
    <x:sheet xmlns:r="http://schemas.openxmlformats.org/officeDocument/2006/relationships" name="08_Next Expansion" sheetId="9" r:id="R419502c2966f436a"/>
    <x:sheet xmlns:r="http://schemas.openxmlformats.org/officeDocument/2006/relationships" name="09_Prompt V3 Locked" sheetId="10" r:id="R3fdd59a37b6d4e9a"/>
    <x:sheet xmlns:r="http://schemas.openxmlformats.org/officeDocument/2006/relationships" name="10_Contact Sprint V16" sheetId="11" r:id="Rab92d529c57f4a31"/>
    <x:sheet xmlns:r="http://schemas.openxmlformats.org/officeDocument/2006/relationships" name="11_Graph Expansion V16" sheetId="12" r:id="R66cab7cf267d49cf"/>
    <x:sheet xmlns:r="http://schemas.openxmlformats.org/officeDocument/2006/relationships" name="12_Horizontal Web V17" sheetId="13" r:id="R60f94b8f1d7c44c8"/>
    <x:sheet xmlns:r="http://schemas.openxmlformats.org/officeDocument/2006/relationships" name="13_Router Matrix V1" sheetId="14" r:id="Rb0c83b8e2c2e4ea6"/>
    <x:sheet xmlns:r="http://schemas.openxmlformats.org/officeDocument/2006/relationships" name="14_Five JD Route Tests" sheetId="15" r:id="R8d7dc550561845c4"/>
    <x:sheet xmlns:r="http://schemas.openxmlformats.org/officeDocument/2006/relationships" name="15_Router Decision Rules" sheetId="16" r:id="Rb7bf6e74471f4c61"/>
    <x:sheet xmlns:r="http://schemas.openxmlformats.org/officeDocument/2006/relationships" name="16_Daily Agent Control" sheetId="17" r:id="R53508b88b33b417b"/>
    <x:sheet xmlns:r="http://schemas.openxmlformats.org/officeDocument/2006/relationships" name="17_Candidate Memory" sheetId="18" r:id="R651de8e8c16748d3"/>
    <x:sheet xmlns:r="http://schemas.openxmlformats.org/officeDocument/2006/relationships" name="18_Source Memory" sheetId="19" r:id="Rd1fa9acb37f04eeb"/>
    <x:sheet xmlns:r="http://schemas.openxmlformats.org/officeDocument/2006/relationships" name="19_Daily Run Log" sheetId="20" r:id="R85f19095948e4c92"/>
    <x:sheet xmlns:r="http://schemas.openxmlformats.org/officeDocument/2006/relationships" name="20_Work Queues" sheetId="21" r:id="R999fb0a004944c4f"/>
    <x:sheet xmlns:r="http://schemas.openxmlformats.org/officeDocument/2006/relationships" name="21_Email Ready Pipeline" sheetId="22" r:id="Rc0638da44b5e4659"/>
    <x:sheet xmlns:r="http://schemas.openxmlformats.org/officeDocument/2006/relationships" name="22_LinkedIn Manual Queue" sheetId="23" r:id="R885f3486ef514f0e"/>
    <x:sheet xmlns:r="http://schemas.openxmlformats.org/officeDocument/2006/relationships" name="23_Contact Source Yield" sheetId="24" r:id="Rea7f1ada26124382"/>
    <x:sheet xmlns:r="http://schemas.openxmlformats.org/officeDocument/2006/relationships" name="24_Job Route Calibration" sheetId="25" r:id="R8913d33939e0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16">
    <x:font>
      <x:sz val="11"/>
      <x:name val="Carlito"/>
    </x:font>
    <x:font>
      <x:b/>
      <x:sz val="18"/>
      <x:color rgb="FFFFFFFF"/>
      <x:name val="Microsoft JhengHei"/>
    </x:font>
    <x:font>
      <x:b/>
      <x:sz val="11"/>
      <x:color rgb="FF1565C0"/>
      <x:name val="Carlito"/>
    </x:font>
    <x:font>
      <x:b/>
      <x:sz val="11"/>
      <x:color rgb="FFC62828"/>
      <x:name val="Carlito"/>
    </x:font>
    <x:font>
      <x:b/>
      <x:sz val="11"/>
      <x:color rgb="FFFFFFFF"/>
      <x:name val="Microsoft JhengHei"/>
    </x:font>
    <x:font>
      <x:b/>
      <x:sz val="15"/>
      <x:name val="Carlito"/>
    </x:font>
    <x:font>
      <x:b/>
      <x:sz val="11"/>
      <x:color rgb="FFD97706"/>
      <x:name val="Carlito"/>
    </x:font>
    <x:font>
      <x:b/>
      <x:sz val="14"/>
      <x:name val="Carlito"/>
    </x:font>
    <x:font>
      <x:b/>
      <x:sz val="10"/>
      <x:color rgb="FF102A43"/>
      <x:name val="Microsoft JhengHei"/>
    </x:font>
    <x:font>
      <x:sz val="10"/>
      <x:color rgb="FF102A43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198754"/>
      <x:name val="Carlito"/>
    </x:font>
    <x:font>
      <x:sz val="11"/>
      <x:color rgb="FF102A43"/>
      <x:name val="Carlito"/>
    </x:font>
    <x:font>
      <x:b/>
      <x:sz val="11"/>
      <x:color rgb="FF198754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CE8E6"/>
      </x:patternFill>
    </x:fill>
    <x:fill>
      <x:patternFill patternType="solid">
        <x:fgColor rgb="FF1565C0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0B7A75"/>
      </x:patternFill>
    </x:fill>
    <x:fill>
      <x:patternFill patternType="solid">
        <x:fgColor rgb="FFEAF7EE"/>
      </x:patternFill>
    </x:fill>
    <x:fill>
      <x:patternFill patternType="solid">
        <x:fgColor rgb="FFEAF2FF"/>
      </x:patternFill>
    </x:fill>
    <x:fill>
      <x:patternFill patternType="solid">
        <x:fgColor rgb="FF1565C0"/>
      </x:patternFill>
    </x:fill>
    <x:fill>
      <x:patternFill patternType="solid">
        <x:fgColor rgb="FFFCE8E6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1565C0"/>
      </x:patternFill>
    </x:fill>
    <x:fill>
      <x:patternFill patternType="solid">
        <x:fgColor rgb="FFEAF2FF"/>
      </x:patternFill>
    </x:fill>
    <x:fill>
      <x:patternFill patternType="solid">
        <x:fgColor rgb="FF0B7A75"/>
      </x:patternFill>
    </x:fill>
    <x:fill>
      <x:patternFill patternType="solid">
        <x:fgColor rgb="FFEAF7EE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0B7A75"/>
      </x:patternFill>
    </x:fill>
    <x:fill>
      <x:patternFill patternType="solid">
        <x:fgColor rgb="FF1565C0"/>
      </x:patternFill>
    </x:fill>
    <x:fill>
      <x:patternFill patternType="solid">
        <x:fgColor rgb="FFFCE8E6"/>
      </x:patternFill>
    </x:fill>
    <x:fill>
      <x:patternFill patternType="solid">
        <x:fgColor rgb="FFEAF2FF"/>
      </x:patternFill>
    </x:fill>
  </x:fills>
  <x:borders count="5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20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201" fontId="13" fillId="11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2" xfId="0" applyNumberFormat="1" applyFont="1" applyFill="1" applyBorder="1"/>
    <x:xf numFmtId="0" fontId="12" fillId="10" borderId="3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2" xfId="0" applyNumberFormat="1" applyFont="1" applyFill="1" applyBorder="1" applyAlignment="1">
      <x:alignment wrapText="1"/>
    </x:xf>
    <x:xf numFmtId="0" fontId="12" fillId="10" borderId="3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2" xfId="0" applyNumberFormat="1" applyFont="1" applyFill="1" applyBorder="1" applyAlignment="1">
      <x:alignment vertical="center" wrapText="1"/>
    </x:xf>
    <x:xf numFmtId="0" fontId="12" fillId="10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0" fontId="12" fillId="13" borderId="2" xfId="0" applyNumberFormat="1" applyFont="1" applyFill="1" applyBorder="1"/>
    <x:xf numFmtId="0" fontId="12" fillId="13" borderId="3" xfId="0" applyNumberFormat="1" applyFont="1" applyFill="1" applyBorder="1"/>
    <x:xf numFmtId="0" fontId="12" fillId="13" borderId="1" xfId="0" applyNumberFormat="1" applyFont="1" applyFill="1" applyBorder="1" applyAlignment="1">
      <x:alignment wrapText="1"/>
    </x:xf>
    <x:xf numFmtId="0" fontId="12" fillId="13" borderId="2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13" borderId="2" xfId="0" applyNumberFormat="1" applyFont="1" applyFill="1" applyBorder="1" applyAlignment="1">
      <x:alignment vertical="center" wrapText="1"/>
    </x:xf>
    <x:xf numFmtId="0" fontId="12" fillId="13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2" fillId="17" borderId="0" xfId="0" applyNumberFormat="1" applyFont="1" applyFill="1" applyBorder="1"/>
    <x:xf numFmtId="0" fontId="12" fillId="17" borderId="1" xfId="0" applyNumberFormat="1" applyFont="1" applyFill="1" applyBorder="1"/>
    <x:xf numFmtId="0" fontId="12" fillId="17" borderId="2" xfId="0" applyNumberFormat="1" applyFont="1" applyFill="1" applyBorder="1"/>
    <x:xf numFmtId="0" fontId="12" fillId="17" borderId="3" xfId="0" applyNumberFormat="1" applyFont="1" applyFill="1" applyBorder="1"/>
    <x:xf numFmtId="0" fontId="12" fillId="17" borderId="1" xfId="0" applyNumberFormat="1" applyFont="1" applyFill="1" applyBorder="1" applyAlignment="1">
      <x:alignment wrapText="1"/>
    </x:xf>
    <x:xf numFmtId="0" fontId="12" fillId="17" borderId="2" xfId="0" applyNumberFormat="1" applyFont="1" applyFill="1" applyBorder="1" applyAlignment="1">
      <x:alignment wrapText="1"/>
    </x:xf>
    <x:xf numFmtId="0" fontId="12" fillId="17" borderId="3" xfId="0" applyNumberFormat="1" applyFont="1" applyFill="1" applyBorder="1" applyAlignment="1">
      <x:alignment wrapText="1"/>
    </x:xf>
    <x:xf numFmtId="0" fontId="12" fillId="17" borderId="1" xfId="0" applyNumberFormat="1" applyFont="1" applyFill="1" applyBorder="1" applyAlignment="1">
      <x:alignment vertical="center" wrapText="1"/>
    </x:xf>
    <x:xf numFmtId="0" fontId="12" fillId="17" borderId="2" xfId="0" applyNumberFormat="1" applyFont="1" applyFill="1" applyBorder="1" applyAlignment="1">
      <x:alignment vertical="center" wrapText="1"/>
    </x:xf>
    <x:xf numFmtId="0" fontId="12" fillId="17" borderId="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1" xfId="0" applyNumberFormat="1" applyFont="1" applyFill="1" applyBorder="1"/>
    <x:xf numFmtId="0" fontId="12" fillId="19" borderId="2" xfId="0" applyNumberFormat="1" applyFont="1" applyFill="1" applyBorder="1"/>
    <x:xf numFmtId="0" fontId="12" fillId="19" borderId="3" xfId="0" applyNumberFormat="1" applyFont="1" applyFill="1" applyBorder="1"/>
    <x:xf numFmtId="0" fontId="12" fillId="19" borderId="1" xfId="0" applyNumberFormat="1" applyFont="1" applyFill="1" applyBorder="1" applyAlignment="1">
      <x:alignment wrapText="1"/>
    </x:xf>
    <x:xf numFmtId="0" fontId="12" fillId="19" borderId="2" xfId="0" applyNumberFormat="1" applyFont="1" applyFill="1" applyBorder="1" applyAlignment="1">
      <x:alignment wrapText="1"/>
    </x:xf>
    <x:xf numFmtId="0" fontId="12" fillId="19" borderId="3" xfId="0" applyNumberFormat="1" applyFont="1" applyFill="1" applyBorder="1" applyAlignment="1">
      <x:alignment wrapText="1"/>
    </x:xf>
    <x:xf numFmtId="0" fontId="12" fillId="19" borderId="1" xfId="0" applyNumberFormat="1" applyFont="1" applyFill="1" applyBorder="1" applyAlignment="1">
      <x:alignment vertical="center" wrapText="1"/>
    </x:xf>
    <x:xf numFmtId="0" fontId="12" fillId="19" borderId="2" xfId="0" applyNumberFormat="1" applyFont="1" applyFill="1" applyBorder="1" applyAlignment="1">
      <x:alignment vertical="center" wrapText="1"/>
    </x:xf>
    <x:xf numFmtId="0" fontId="12" fillId="19" borderId="3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201" fontId="13" fillId="20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color rgb="FFC62828"/>
      </x:font>
      <x:fill>
        <x:patternFill>
          <x:bgColor rgb="FFFCE8E6"/>
        </x:patternFill>
      </x:fill>
    </x:dxf>
    <x:dxf>
      <x:font>
        <x:color rgb="FFC62828"/>
      </x:font>
      <x:fill>
        <x:patternFill>
          <x:bgColor rgb="FFFCE8E6"/>
        </x:patternFill>
      </x:fill>
    </x:dxf>
    <x:dxf>
      <x:font>
        <x:b/>
        <x:color rgb="FF198754"/>
      </x:font>
      <x:fill>
        <x:patternFill patternType="solid">
          <x:bgColor rgb="FFEAF7EE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  <x:dxf>
      <x:font>
        <x:b/>
        <x:color rgb="FF198754"/>
      </x:font>
      <x:fill>
        <x:patternFill patternType="solid">
          <x:bgColor rgb="FFEAF7EE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  <x:dxf>
      <x:font>
        <x:b/>
        <x:color rgb="FF198754"/>
      </x:font>
      <x:fill>
        <x:patternFill patternType="solid">
          <x:bgColor rgb="FFEAF7EE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9527f14a54f1f" /><Relationship Type="http://schemas.openxmlformats.org/officeDocument/2006/relationships/theme" Target="/xl/theme/theme1.xml" Id="Rfc7006ca93d644a7" /><Relationship Type="http://schemas.openxmlformats.org/officeDocument/2006/relationships/sharedStrings" Target="/xl/sharedStrings.xml" Id="Rc2441ac35fa746e1" /><Relationship Type="http://schemas.openxmlformats.org/officeDocument/2006/relationships/worksheet" Target="/xl/worksheets/sheet1.xml" Id="Rfa828b92292c408c" /><Relationship Type="http://schemas.openxmlformats.org/officeDocument/2006/relationships/worksheet" Target="/xl/worksheets/sheet2.xml" Id="R4a86a964d605492a" /><Relationship Type="http://schemas.openxmlformats.org/officeDocument/2006/relationships/worksheet" Target="/xl/worksheets/sheet3.xml" Id="Re5a91e38a6f94611" /><Relationship Type="http://schemas.openxmlformats.org/officeDocument/2006/relationships/worksheet" Target="/xl/worksheets/sheet4.xml" Id="R1f2edd42d9764ec2" /><Relationship Type="http://schemas.openxmlformats.org/officeDocument/2006/relationships/worksheet" Target="/xl/worksheets/sheet5.xml" Id="R452ccc90b2724b38" /><Relationship Type="http://schemas.openxmlformats.org/officeDocument/2006/relationships/worksheet" Target="/xl/worksheets/sheet6.xml" Id="R82e239cbb3344be3" /><Relationship Type="http://schemas.openxmlformats.org/officeDocument/2006/relationships/worksheet" Target="/xl/worksheets/sheet7.xml" Id="R7cfad4774208476e" /><Relationship Type="http://schemas.openxmlformats.org/officeDocument/2006/relationships/worksheet" Target="/xl/worksheets/sheet8.xml" Id="Ra7562b92cb5d476d" /><Relationship Type="http://schemas.openxmlformats.org/officeDocument/2006/relationships/worksheet" Target="/xl/worksheets/sheet9.xml" Id="R419502c2966f436a" /><Relationship Type="http://schemas.openxmlformats.org/officeDocument/2006/relationships/worksheet" Target="/xl/worksheets/sheet10.xml" Id="R3fdd59a37b6d4e9a" /><Relationship Type="http://schemas.openxmlformats.org/officeDocument/2006/relationships/worksheet" Target="/xl/worksheets/sheet11.xml" Id="Rab92d529c57f4a31" /><Relationship Type="http://schemas.openxmlformats.org/officeDocument/2006/relationships/worksheet" Target="/xl/worksheets/sheet12.xml" Id="R66cab7cf267d49cf" /><Relationship Type="http://schemas.openxmlformats.org/officeDocument/2006/relationships/worksheet" Target="/xl/worksheets/sheet13.xml" Id="R60f94b8f1d7c44c8" /><Relationship Type="http://schemas.openxmlformats.org/officeDocument/2006/relationships/worksheet" Target="/xl/worksheets/sheet14.xml" Id="Rb0c83b8e2c2e4ea6" /><Relationship Type="http://schemas.openxmlformats.org/officeDocument/2006/relationships/worksheet" Target="/xl/worksheets/sheet15.xml" Id="R8d7dc550561845c4" /><Relationship Type="http://schemas.openxmlformats.org/officeDocument/2006/relationships/worksheet" Target="/xl/worksheets/sheet16.xml" Id="Rb7bf6e74471f4c61" /><Relationship Type="http://schemas.openxmlformats.org/officeDocument/2006/relationships/worksheet" Target="/xl/worksheets/sheet17.xml" Id="R53508b88b33b417b" /><Relationship Type="http://schemas.openxmlformats.org/officeDocument/2006/relationships/worksheet" Target="/xl/worksheets/sheet18.xml" Id="R651de8e8c16748d3" /><Relationship Type="http://schemas.openxmlformats.org/officeDocument/2006/relationships/worksheet" Target="/xl/worksheets/sheet19.xml" Id="Rd1fa9acb37f04eeb" /><Relationship Type="http://schemas.openxmlformats.org/officeDocument/2006/relationships/worksheet" Target="/xl/worksheets/sheet20.xml" Id="R85f19095948e4c92" /><Relationship Type="http://schemas.openxmlformats.org/officeDocument/2006/relationships/worksheet" Target="/xl/worksheets/sheet21.xml" Id="R999fb0a004944c4f" /><Relationship Type="http://schemas.openxmlformats.org/officeDocument/2006/relationships/worksheet" Target="/xl/worksheets/sheet22.xml" Id="Rc0638da44b5e4659" /><Relationship Type="http://schemas.openxmlformats.org/officeDocument/2006/relationships/worksheet" Target="/xl/worksheets/sheet23.xml" Id="R885f3486ef514f0e" /><Relationship Type="http://schemas.openxmlformats.org/officeDocument/2006/relationships/worksheet" Target="/xl/worksheets/sheet24.xml" Id="Rea7f1ada26124382" /><Relationship Type="http://schemas.openxmlformats.org/officeDocument/2006/relationships/worksheet" Target="/xl/worksheets/sheet25.xml" Id="R8913d33939e04915" /></Relationships>
</file>

<file path=xl/tables/table1.xml><?xml version="1.0" encoding="utf-8"?>
<x:table xmlns:x="http://schemas.openxmlformats.org/spreadsheetml/2006/main" id="1" name="QualifiedPoolTable" displayName="QualifiedPoolTable" ref="A4:AD34" headerRowCount="1" totalsRowCount="0" totalsRowShown="0">
  <x:tableColumns count="30">
    <x:tableColumn id="1" name="ID"/>
    <x:tableColumn id="2" name="姓名"/>
    <x:tableColumn id="3" name="Gate狀態"/>
    <x:tableColumn id="4" name="Current Company"/>
    <x:tableColumn id="5" name="Title"/>
    <x:tableColumn id="6" name="Location"/>
    <x:tableColumn id="7" name="Hands-on Evidence"/>
    <x:tableColumn id="8" name="Skill 30"/>
    <x:tableColumn id="9" name="Industry 20"/>
    <x:tableColumn id="10" name="Role 20"/>
    <x:tableColumn id="11" name="Experience 10"/>
    <x:tableColumn id="12" name="Location 10"/>
    <x:tableColumn id="13" name="Evidence 10"/>
    <x:tableColumn id="14" name="Score"/>
    <x:tableColumn id="15" name="Tier"/>
    <x:tableColumn id="16" name="Decision"/>
    <x:tableColumn id="17" name="Primary Source"/>
    <x:tableColumn id="18" name="Evidence Source 2"/>
    <x:tableColumn id="19" name="本人Email"/>
    <x:tableColumn id="20" name="本人電話"/>
    <x:tableColumn id="21" name="LinkedIn"/>
    <x:tableColumn id="22" name="第二社群"/>
    <x:tableColumn id="23" name="本人管道數"/>
    <x:tableColumn id="24" name="Contact狀態"/>
    <x:tableColumn id="25" name="Salary/Level Risk"/>
    <x:tableColumn id="26" name="Work Auth/中文"/>
    <x:tableColumn id="27" name="Motorbike"/>
    <x:tableColumn id="28" name="Recruiter下一步"/>
    <x:tableColumn id="29" name="Why relevant"/>
    <x:tableColumn id="30" name="Source mix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EnrichmentTable" displayName="ContactEnrichmentTable" ref="A4:N34" headerRowCount="1" totalsRowCount="0" totalsRowShown="0">
  <x:tableColumns count="14">
    <x:tableColumn id="1" name="姓名"/>
    <x:tableColumn id="2" name="Fit Score"/>
    <x:tableColumn id="3" name="本人公開Email"/>
    <x:tableColumn id="4" name="本人公開電話"/>
    <x:tableColumn id="5" name="LinkedIn"/>
    <x:tableColumn id="6" name="第二社群"/>
    <x:tableColumn id="7" name="第三社群"/>
    <x:tableColumn id="8" name="本人管道數"/>
    <x:tableColumn id="9" name="Email查找狀態"/>
    <x:tableColumn id="10" name="電話查找狀態"/>
    <x:tableColumn id="11" name="社群驗證"/>
    <x:tableColumn id="12" name="最近搜尋結論"/>
    <x:tableColumn id="13" name="停止/續查規則"/>
    <x:tableColumn id="14" name="來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jectedTable" displayName="RejectedTable" ref="A4:F18" headerRowCount="1" totalsRowCount="0" totalsRowShown="0">
  <x:tableColumns count="6">
    <x:tableColumn id="1" name="姓名/線索"/>
    <x:tableColumn id="2" name="角色"/>
    <x:tableColumn id="3" name="淘汰原因"/>
    <x:tableColumn id="4" name="狀態"/>
    <x:tableColumn id="5" name="是否有聯絡資訊"/>
    <x:tableColumn id="6" name="規則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unLogTable" displayName="RunLogTable" ref="A3:H18" headerRowCount="1" totalsRowCount="0" totalsRowShown="0">
  <x:tableColumns count="8">
    <x:tableColumn id="1" name="日期"/>
    <x:tableColumn id="2" name="版本"/>
    <x:tableColumn id="3" name="階段"/>
    <x:tableColumn id="4" name="輸入/查詢"/>
    <x:tableColumn id="5" name="輸出"/>
    <x:tableColumn id="6" name="問題"/>
    <x:tableColumn id="7" name="決策"/>
    <x:tableColumn id="8" name="狀態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TalentDNATable" displayName="TalentDNATable" ref="A3:D13" headerRowCount="1" totalsRowCount="0" totalsRowShown="0">
  <x:tableColumns count="4">
    <x:tableColumn id="1" name="層級"/>
    <x:tableColumn id="2" name="條件"/>
    <x:tableColumn id="3" name="Gate規則"/>
    <x:tableColumn id="4" name="證據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ixTable" displayName="SourceMixTable" ref="A3:H18" headerRowCount="1" totalsRowCount="0" totalsRowShown="0">
  <x:tableColumns count="8">
    <x:tableColumn id="1" name="來源類型"/>
    <x:tableColumn id="2" name="來源"/>
    <x:tableColumn id="3" name="用途"/>
    <x:tableColumn id="4" name="發現/驗證人數"/>
    <x:tableColumn id="5" name="非招募來源?"/>
    <x:tableColumn id="6" name="本輪價值"/>
    <x:tableColumn id="7" name="限制"/>
    <x:tableColumn id="8" name="下一步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romptRulesTable" displayName="PromptRulesTable" ref="A3:D18" headerRowCount="1" totalsRowCount="0" totalsRowShown="0">
  <x:tableColumns count="4">
    <x:tableColumn id="1" name="Rule ID"/>
    <x:tableColumn id="2" name="規則"/>
    <x:tableColumn id="3" name="自動化判斷"/>
    <x:tableColumn id="4" name="失敗防線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NextExpansionTable" displayName="NextExpansionTable" ref="A3:F10" headerRowCount="1" totalsRowCount="0" totalsRowShown="0">
  <x:tableColumns count="6">
    <x:tableColumn id="1" name="優先"/>
    <x:tableColumn id="2" name="來源入口"/>
    <x:tableColumn id="3" name="目標量"/>
    <x:tableColumn id="4" name="抽取方法"/>
    <x:tableColumn id="5" name="Gate後預估"/>
    <x:tableColumn id="6" name="目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ckedRulesTable" displayName="LockedRulesTable" ref="A6:E15" headerRowCount="1" totalsRowCount="0" totalsRowShown="0">
  <x:tableColumns count="5">
    <x:tableColumn id="1" name="Rule"/>
    <x:tableColumn id="2" name="鎖定內容"/>
    <x:tableColumn id="3" name="自動判斷"/>
    <x:tableColumn id="4" name="失敗代碼"/>
    <x:tableColumn id="5" name="人工檢核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ContactSprintV16Table" displayName="ContactSprintV16Table" ref="A3:M20" headerRowCount="1" totalsRowCount="0" totalsRowShown="0">
  <x:tableColumns count="13">
    <x:tableColumn id="1" name="姓名"/>
    <x:tableColumn id="2" name="公司"/>
    <x:tableColumn id="3" name="查詢路徑"/>
    <x:tableColumn id="4" name="本人Email"/>
    <x:tableColumn id="5" name="本人電話"/>
    <x:tableColumn id="6" name="LinkedIn"/>
    <x:tableColumn id="7" name="第二社群"/>
    <x:tableColumn id="8" name="公司Referral"/>
    <x:tableColumn id="9" name="同名排除"/>
    <x:tableColumn id="10" name="狀態"/>
    <x:tableColumn id="11" name="停止/續查"/>
    <x:tableColumn id="12" name="來源1"/>
    <x:tableColumn id="13" name="來源2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GraphExpansionV16Table" displayName="GraphExpansionV16Table" ref="A3:J10" headerRowCount="1" totalsRowCount="0" totalsRowShown="0">
  <x:tableColumns count="10">
    <x:tableColumn id="1" name="姓名"/>
    <x:tableColumn id="2" name="來源關係"/>
    <x:tableColumn id="3" name="公司/組織"/>
    <x:tableColumn id="4" name="公開訊號"/>
    <x:tableColumn id="5" name="年份"/>
    <x:tableColumn id="6" name="分類"/>
    <x:tableColumn id="7" name="可否直接聯絡"/>
    <x:tableColumn id="8" name="Source URL"/>
    <x:tableColumn id="9" name="下一步"/>
    <x:tableColumn id="10" name="備註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orizontalWebV17Table" displayName="HorizontalWebV17Table" ref="A3:N20" headerRowCount="1" totalsRowCount="0" totalsRowShown="0">
  <x:tableColumns count="14">
    <x:tableColumn id="1" name="姓名"/>
    <x:tableColumn id="2" name="公司錨點"/>
    <x:tableColumn id="3" name="Cake狀態"/>
    <x:tableColumn id="4" name="Cake URL"/>
    <x:tableColumn id="5" name="GitHub狀態"/>
    <x:tableColumn id="6" name="GitHub URL"/>
    <x:tableColumn id="7" name="個站狀態"/>
    <x:tableColumn id="8" name="個站URL"/>
    <x:tableColumn id="9" name="新增Email"/>
    <x:tableColumn id="10" name="新增電話"/>
    <x:tableColumn id="11" name="身分判斷"/>
    <x:tableColumn id="12" name="False Positive / 噪音"/>
    <x:tableColumn id="13" name="下一次重啟條件"/>
    <x:tableColumn id="14" name="LinkedIn證據"/>
  </x:tableColumns>
  <x:tableStyleInfo name="TableStyleMedium5" showFirstColumn="0" showLastColumn="0" showRowStripes="1" showColumnStripes="0"/>
</x:table>
</file>

<file path=xl/tables/table13.xml><?xml version="1.0" encoding="utf-8"?>
<x:table xmlns:x="http://schemas.openxmlformats.org/spreadsheetml/2006/main" id="13" name="RouterMatrixV1Table" displayName="RouterMatrixV1Table" ref="A3:J13" headerRowCount="1" totalsRowCount="0" totalsRowShown="0">
  <x:tableColumns count="10">
    <x:tableColumn id="1" name="Route Code"/>
    <x:tableColumn id="2" name="人才生態"/>
    <x:tableColumn id="3" name="主要職缺"/>
    <x:tableColumn id="4" name="高價值公開證據"/>
    <x:tableColumn id="5" name="來源優先1"/>
    <x:tableColumn id="6" name="來源優先2"/>
    <x:tableColumn id="7" name="聯絡優先"/>
    <x:tableColumn id="8" name="典型錨點"/>
    <x:tableColumn id="9" name="通常低效來源"/>
    <x:tableColumn id="10" name="主要風險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veJDRouteTestsTable" displayName="FiveJDRouteTestsTable" ref="A3:O8" headerRowCount="1" totalsRowCount="0" totalsRowShown="0">
  <x:tableColumns count="15">
    <x:tableColumn id="1" name="職缺"/>
    <x:tableColumn id="2" name="Primary"/>
    <x:tableColumn id="3" name="Secondary"/>
    <x:tableColumn id="4" name="職級"/>
    <x:tableColumn id="5" name="工作型態"/>
    <x:tableColumn id="6" name="Evidence Mode"/>
    <x:tableColumn id="7" name="關鍵Overlays"/>
    <x:tableColumn id="8" name="Hard Gate"/>
    <x:tableColumn id="9" name="高優先來源"/>
    <x:tableColumn id="10" name="身份錨點"/>
    <x:tableColumn id="11" name="Contact Waterfall"/>
    <x:tableColumn id="12" name="低效/禁止"/>
    <x:tableColumn id="13" name="Stop/Reroute"/>
    <x:tableColumn id="14" name="測試結果"/>
    <x:tableColumn id="15" name="JD URL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RouterDecisionRulesTable" displayName="RouterDecisionRulesTable" ref="A3:F13" headerRowCount="1" totalsRowCount="0" totalsRowShown="0">
  <x:tableColumns count="6">
    <x:tableColumn id="1" name="Rule ID"/>
    <x:tableColumn id="2" name="自動判斷"/>
    <x:tableColumn id="3" name="輸出"/>
    <x:tableColumn id="4" name="禁止行為"/>
    <x:tableColumn id="5" name="失敗代碼"/>
    <x:tableColumn id="6" name="人工確認"/>
  </x:tableColumns>
  <x:tableStyleInfo name="TableStyleMedium9" showFirstColumn="0" showLastColumn="0" showRowStripes="1" showColumnStripes="0"/>
</x:table>
</file>

<file path=xl/tables/table16.xml><?xml version="1.0" encoding="utf-8"?>
<x:table xmlns:x="http://schemas.openxmlformats.org/spreadsheetml/2006/main" id="16" name="CandidateMemoryV20Table" displayName="CandidateMemoryV20Table" ref="A4:N204" headerRowCount="1" totalsRowCount="0" totalsRowShown="0">
  <x:tableColumns count="14">
    <x:tableColumn id="1" name="Candidate ID"/>
    <x:tableColumn id="2" name="Normalized Name"/>
    <x:tableColumn id="3" name="Display Name"/>
    <x:tableColumn id="4" name="Organization"/>
    <x:tableColumn id="5" name="Identity Anchors"/>
    <x:tableColumn id="6" name="First Seen"/>
    <x:tableColumn id="7" name="Last Seen"/>
    <x:tableColumn id="8" name="First Batch"/>
    <x:tableColumn id="9" name="Identity Status"/>
    <x:tableColumn id="10" name="Qualified Status"/>
    <x:tableColumn id="11" name="Contact Status"/>
    <x:tableColumn id="12" name="Do Not Recreate"/>
    <x:tableColumn id="13" name="Next Eligible Action"/>
    <x:tableColumn id="14" name="Notes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SourceMemoryV20Table" displayName="SourceMemoryV20Table" ref="A4:M104" headerRowCount="1" totalsRowCount="0" totalsRowShown="0">
  <x:tableColumns count="13">
    <x:tableColumn id="1" name="Source ID"/>
    <x:tableColumn id="2" name="Source Type"/>
    <x:tableColumn id="3" name="Anchor"/>
    <x:tableColumn id="4" name="Last Run"/>
    <x:tableColumn id="5" name="Named"/>
    <x:tableColumn id="6" name="New Unique"/>
    <x:tableColumn id="7" name="Duplicate"/>
    <x:tableColumn id="8" name="Duplicate Rate"/>
    <x:tableColumn id="9" name="Qualified"/>
    <x:tableColumn id="10" name="Contactable"/>
    <x:tableColumn id="11" name="State"/>
    <x:tableColumn id="12" name="Next Eligible Action"/>
    <x:tableColumn id="13" name="Source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ilyRunLogV20Table" displayName="DailyRunLogV20Table" ref="A4:T104" headerRowCount="1" totalsRowCount="0" totalsRowShown="0">
  <x:tableColumns count="20">
    <x:tableColumn id="1" name="Run Date"/>
    <x:tableColumn id="2" name="Run ID"/>
    <x:tableColumn id="3" name="Phase"/>
    <x:tableColumn id="4" name="Sources Attempted"/>
    <x:tableColumn id="5" name="Names Reviewed"/>
    <x:tableColumn id="6" name="New Unique"/>
    <x:tableColumn id="7" name="Evidence Update"/>
    <x:tableColumn id="8" name="Duplicate"/>
    <x:tableColumn id="9" name="Identity Conflict"/>
    <x:tableColumn id="10" name="New Qualified"/>
    <x:tableColumn id="11" name="New Direct"/>
    <x:tableColumn id="12" name="New Email"/>
    <x:tableColumn id="13" name="New Phone"/>
    <x:tableColumn id="14" name="New Social"/>
    <x:tableColumn id="15" name="New Person Contact"/>
    <x:tableColumn id="16" name="New Dual Channel"/>
    <x:tableColumn id="17" name="New Client-ready"/>
    <x:tableColumn id="18" name="Blocker / Shortfall"/>
    <x:tableColumn id="19" name="Next Action"/>
    <x:tableColumn id="20" name="Run Status"/>
  </x:tableColumns>
  <x:tableStyleInfo name="TableStyleMedium9" showFirstColumn="0" showLastColumn="0" showRowStripes="1" showColumnStripes="0"/>
</x:table>
</file>

<file path=xl/tables/table19.xml><?xml version="1.0" encoding="utf-8"?>
<x:table xmlns:x="http://schemas.openxmlformats.org/spreadsheetml/2006/main" id="19" name="WorkQueuesV20Table" displayName="WorkQueuesV20Table" ref="A4:J204" headerRowCount="1" totalsRowCount="0" totalsRowShown="0">
  <x:tableColumns count="10">
    <x:tableColumn id="1" name="Queue ID"/>
    <x:tableColumn id="2" name="Queue Type"/>
    <x:tableColumn id="3" name="Priority"/>
    <x:tableColumn id="4" name="Candidate / Anchor"/>
    <x:tableColumn id="5" name="Created"/>
    <x:tableColumn id="6" name="Status"/>
    <x:tableColumn id="7" name="Eligibility"/>
    <x:tableColumn id="8" name="Required Action"/>
    <x:tableColumn id="9" name="Stop Rule"/>
    <x:tableColumn id="10" name="Output Destination"/>
  </x:tableColumns>
  <x:tableStyleInfo name="TableStyleMedium3" showFirstColumn="0" showLastColumn="0" showRowStripes="1" showColumnStripes="0"/>
</x:table>
</file>

<file path=xl/tables/table20.xml><?xml version="1.0" encoding="utf-8"?>
<x:table xmlns:x="http://schemas.openxmlformats.org/spreadsheetml/2006/main" id="20" name="EmailReadyPipelineV21Table" displayName="EmailReadyPipelineV21Table" ref="A4:P204" headerRowCount="1" totalsRowCount="0" totalsRowShown="0">
  <x:tableColumns count="16">
    <x:tableColumn id="1" name="Candidate ID"/>
    <x:tableColumn id="2" name="Name"/>
    <x:tableColumn id="3" name="Qualified Class"/>
    <x:tableColumn id="4" name="Identity Confidence"/>
    <x:tableColumn id="5" name="Current / Recent Company"/>
    <x:tableColumn id="6" name="Official Domain"/>
    <x:tableColumn id="7" name="Email Availability Potential"/>
    <x:tableColumn id="8" name="Public / Professional Email"/>
    <x:tableColumn id="9" name="Email Source URL"/>
    <x:tableColumn id="10" name="Verification Status"/>
    <x:tableColumn id="11" name="Auto Outreach Readiness"/>
    <x:tableColumn id="12" name="Second Person Channel"/>
    <x:tableColumn id="13" name="Outreach Mode"/>
    <x:tableColumn id="14" name="Required Next Action"/>
    <x:tableColumn id="15" name="Last Checked"/>
    <x:tableColumn id="16" name="Notes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LinkedInManualQueueV21Table" displayName="LinkedInManualQueueV21Table" ref="A4:K204" headerRowCount="1" totalsRowCount="0" totalsRowShown="0">
  <x:tableColumns count="11">
    <x:tableColumn id="1" name="Queue ID"/>
    <x:tableColumn id="2" name="Candidate ID"/>
    <x:tableColumn id="3" name="Name"/>
    <x:tableColumn id="4" name="Qualified Class"/>
    <x:tableColumn id="5" name="LinkedIn URL"/>
    <x:tableColumn id="6" name="Email Search Status"/>
    <x:tableColumn id="7" name="Last Email Search"/>
    <x:tableColumn id="8" name="Reopen Trigger"/>
    <x:tableColumn id="9" name="Status"/>
    <x:tableColumn id="10" name="Owner"/>
    <x:tableColumn id="11" name="Notes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ContactSourceYieldV21Table" displayName="ContactSourceYieldV21Table" ref="A4:M104" headerRowCount="1" totalsRowCount="0" totalsRowShown="0">
  <x:tableColumns count="13">
    <x:tableColumn id="1" name="Source ID"/>
    <x:tableColumn id="2" name="Source Type"/>
    <x:tableColumn id="3" name="Anchor"/>
    <x:tableColumn id="4" name="Qualified Reviewed"/>
    <x:tableColumn id="5" name="Domain Ready"/>
    <x:tableColumn id="6" name="Verified Email"/>
    <x:tableColumn id="7" name="Dual Channel"/>
    <x:tableColumn id="8" name="Email-ready Rate"/>
    <x:tableColumn id="9" name="Auto-contact Potential"/>
    <x:tableColumn id="10" name="State"/>
    <x:tableColumn id="11" name="Last Run"/>
    <x:tableColumn id="12" name="Next Action"/>
    <x:tableColumn id="1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b042bd38164e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3ad6f7790d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eead47504744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1edf8ba2404d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d1a834ef7e4c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067e263cb446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d9e6ede87844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01288376a74f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01f188b44948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c36db5e8ca848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65cad878b940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146162f469f437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01effcb233341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b918d874fb241c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89c9b12f62746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7c266bcc962e434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d6162bf80c744a6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6a1fdec4a949465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009913eb70af4ec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8c0b4eee7797417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40af246f638e4b5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f48aeb4bbc54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8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38" t="str">
        <x:v>Talent Intelligence Sourcing Template V22｜Archetype Lock → 5-person Calibration → Qualified → Email-ready</x:v>
      </x:c>
      <x:c r="B1" s="38" t="str">
        <x:v>Talent Intelligence Sourcing Template V18｜Job Router → Qualified → Contact</x:v>
      </x:c>
      <x:c r="C1" s="38" t="str">
        <x:v>Talent Intelligence Sourcing Template V18｜Job Router → Qualified → Contact</x:v>
      </x:c>
      <x:c r="D1" s="38" t="str">
        <x:v>Talent Intelligence Sourcing Template V18｜Job Router → Qualified → Contact</x:v>
      </x:c>
      <x:c r="E1" s="38" t="str">
        <x:v>Talent Intelligence Sourcing Template V18｜Job Router → Qualified → Contact</x:v>
      </x:c>
      <x:c r="F1" s="38" t="str">
        <x:v>Talent Intelligence Sourcing Template V18｜Job Router → Qualified → Contact</x:v>
      </x:c>
      <x:c r="G1" s="38" t="str">
        <x:v>Talent Intelligence Sourcing Template V18｜Job Router → Qualified → Contact</x:v>
      </x:c>
      <x:c r="H1" s="38" t="str">
        <x:v>Talent Intelligence Sourcing Template V18｜Job Router → Qualified → Contact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15" hidden="0" customHeight="1">
      <x:c r="A3" s="34" t="str">
        <x:v>使用方式：貼入JD → 只補問最多3個關鍵問題 → 完成24_Job Route Calibration → 5位至少4位MATCH → 才建立Source Map與深查聯絡資料。</x:v>
      </x:c>
      <x:c r="B3" s="33"/>
      <x:c r="C3" s="33"/>
      <x:c r="D3" s="33"/>
      <x:c r="E3" s="33"/>
      <x:c r="F3" s="33"/>
      <x:c r="G3" s="33"/>
      <x:c r="H3" s="33"/>
    </x:row>
    <x:row r="4" ht="15" hidden="0" customHeight="1">
      <x:c r="A4" s="33" t="str">
        <x:v>官方職缺</x:v>
      </x:c>
      <x:c r="B4" s="33" t="str">
        <x:v>TO_FILL</x:v>
      </x:c>
      <x:c r="C4" s="33"/>
      <x:c r="D4" s="33"/>
      <x:c r="E4" s="33"/>
      <x:c r="F4" s="33"/>
      <x:c r="G4" s="33"/>
      <x:c r="H4" s="33"/>
    </x:row>
    <x:row r="5" ht="15" hidden="0" customHeight="1">
      <x:c r="A5" s="33" t="str">
        <x:v>工作簿狀態</x:v>
      </x:c>
      <x:c r="B5" s="33" t="str">
        <x:v>EMPTY_REUSABLE_TEMPLATE</x:v>
      </x:c>
      <x:c r="C5" s="33" t="str">
        <x:v>PRIMARY_ECOSYSTEM</x:v>
      </x:c>
      <x:c r="D5" s="33" t="str">
        <x:v>TO_ASSIGN</x:v>
      </x:c>
      <x:c r="E5" s="33" t="str">
        <x:v>JD URL</x:v>
      </x:c>
      <x:c r="F5" s="33" t="str">
        <x:v>TO_FILL</x:v>
      </x:c>
      <x:c r="G5" s="33" t="str">
        <x:v>目前階段</x:v>
      </x:c>
      <x:c r="H5" s="33" t="str">
        <x:v>ROUTE_REQUIRED</x:v>
      </x:c>
    </x:row>
    <x:row r="6" ht="15" hidden="0" customHeight="1">
      <x:c r="A6" s="35" t="str">
        <x:v>核心原則：先判斷職缺適配與可招募性，再做聯絡資料深搜；聯絡資訊豐富不能拯救不符合的人選。</x:v>
      </x:c>
      <x:c r="B6" s="35"/>
      <x:c r="C6" s="35"/>
      <x:c r="D6" s="35"/>
      <x:c r="E6" s="35"/>
      <x:c r="F6" s="35"/>
      <x:c r="G6" s="35"/>
      <x:c r="H6" s="35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34" hidden="0" customHeight="1">
      <x:c r="A8" s="39" t="str">
        <x:v>Raw Reviewed</x:v>
      </x:c>
      <x:c r="B8" s="39" t="str">
        <x:v>Unique Pool</x:v>
      </x:c>
      <x:c r="C8" s="39" t="str">
        <x:v>Qualified</x:v>
      </x:c>
      <x:c r="D8" s="39" t="str">
        <x:v>Contact after confirmation</x:v>
      </x:c>
      <x:c r="E8" s="39" t="str">
        <x:v>Rejected</x:v>
      </x:c>
      <x:c r="F8" s="39" t="str">
        <x:v>本人公開Email</x:v>
      </x:c>
      <x:c r="G8" s="39" t="str">
        <x:v>本人公開電話</x:v>
      </x:c>
      <x:c r="H8" s="39" t="str">
        <x:v>≥2本人管道</x:v>
      </x:c>
    </x:row>
    <x:row r="9" ht="15" hidden="0" customHeight="1">
      <x:c r="A9" s="36" t="n">
        <x:f>COUNTA('01_Qualified Pool'!B5:B34)+COUNTA('03_Rejected_Mismatch'!A5:A18)</x:f>
        <x:v>0</x:v>
      </x:c>
      <x:c r="B9" s="36" t="n">
        <x:f>COUNTA('01_Qualified Pool'!B5:B34)</x:f>
        <x:v>0</x:v>
      </x:c>
      <x:c r="C9" s="36" t="n">
        <x:f>COUNTIF('01_Qualified Pool'!C5:C34,"QUALIFIED_PUBLIC_EVIDENCE")</x:f>
        <x:v>0</x:v>
      </x:c>
      <x:c r="D9" s="36" t="n">
        <x:f>COUNTIF('01_Qualified Pool'!C5:C34,"CONTACT_AFTER_CONFIRMATION")</x:f>
        <x:v>0</x:v>
      </x:c>
      <x:c r="E9" s="36" t="n">
        <x:f>COUNTA('03_Rejected_Mismatch'!A5:A18)</x:f>
        <x:v>0</x:v>
      </x:c>
      <x:c r="F9" s="36" t="n">
        <x:f>COUNTIFS('02_Contact Enrichment'!C5:C34,"&lt;&gt;",'02_Contact Enrichment'!C5:C34,"&lt;&gt;NOT_FOUND")</x:f>
        <x:v>0</x:v>
      </x:c>
      <x:c r="G9" s="36" t="n">
        <x:f>COUNTIFS('02_Contact Enrichment'!D5:D34,"&lt;&gt;",'02_Contact Enrichment'!D5:D34,"&lt;&gt;NOT_FOUND")</x:f>
        <x:v>0</x:v>
      </x:c>
      <x:c r="H9" s="36" t="n">
        <x:f>COUNTIF('02_Contact Enrichment'!H5:H34,"&gt;=2")</x:f>
        <x:v>0</x:v>
      </x:c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34" hidden="0" customHeight="1">
      <x:c r="A11" s="39" t="str">
        <x:v>Gate</x:v>
      </x:c>
      <x:c r="B11" s="39" t="str">
        <x:v>判定</x:v>
      </x:c>
      <x:c r="C11" s="39" t="str">
        <x:v>本輪結果</x:v>
      </x:c>
      <x:c r="D11" s="39" t="str">
        <x:v>下一步</x:v>
      </x:c>
      <x:c r="E11" s="33"/>
      <x:c r="F11" s="33"/>
      <x:c r="G11" s="33"/>
      <x:c r="H11" s="33"/>
    </x:row>
    <x:row r="12" ht="15" hidden="0" customHeight="1">
      <x:c r="A12" s="33" t="str">
        <x:v>Gate</x:v>
      </x:c>
      <x:c r="B12" s="33" t="str">
        <x:v>開始條件</x:v>
      </x:c>
      <x:c r="C12" s="33" t="str">
        <x:v>當前值</x:v>
      </x:c>
      <x:c r="D12" s="33" t="str">
        <x:v>狀態</x:v>
      </x:c>
      <x:c r="E12" s="33" t="str">
        <x:v>不足時動作</x:v>
      </x:c>
      <x:c r="F12" s="33"/>
      <x:c r="G12" s="33"/>
      <x:c r="H12" s="33"/>
    </x:row>
    <x:row r="13" ht="15" hidden="0" customHeight="1">
      <x:c r="A13" s="33" t="str">
        <x:v>Job Route</x:v>
      </x:c>
      <x:c r="B13" s="33" t="str">
        <x:v>已指定Primary Ecosystem</x:v>
      </x:c>
      <x:c r="C13" s="33" t="str">
        <x:v>TO_ASSIGN</x:v>
      </x:c>
      <x:c r="D13" s="33" t="str">
        <x:v>BLOCKED</x:v>
      </x:c>
      <x:c r="E13" s="33" t="str">
        <x:v>先完成13_Router Matrix與Talent DNA</x:v>
      </x:c>
      <x:c r="F13" s="33"/>
      <x:c r="G13" s="33"/>
      <x:c r="H13" s="33"/>
    </x:row>
    <x:row r="14" ht="15" hidden="0" customHeight="1">
      <x:c r="A14" s="33" t="str">
        <x:v>Source Mix</x:v>
      </x:c>
      <x:c r="B14" s="33" t="str">
        <x:v>≥70%新線索來自非招募來源</x:v>
      </x:c>
      <x:c r="C14" s="33" t="str">
        <x:v>0%</x:v>
      </x:c>
      <x:c r="D14" s="33" t="str">
        <x:v>NOT_STARTED</x:v>
      </x:c>
      <x:c r="E14" s="33" t="str">
        <x:v>擴張公司/專案/活動/名冊</x:v>
      </x:c>
      <x:c r="F14" s="33"/>
      <x:c r="G14" s="33"/>
      <x:c r="H14" s="33"/>
    </x:row>
    <x:row r="15" ht="15" hidden="0" customHeight="1">
      <x:c r="A15" s="33" t="str">
        <x:v>Qualified Pool</x:v>
      </x:c>
      <x:c r="B15" s="33" t="str">
        <x:v>職缺Fit先於Contact</x:v>
      </x:c>
      <x:c r="C15" s="33" t="str">
        <x:v>0</x:v>
      </x:c>
      <x:c r="D15" s="33" t="str">
        <x:v>NOT_STARTED</x:v>
      </x:c>
      <x:c r="E15" s="33" t="str">
        <x:v>先做身分與Qualified Gate</x:v>
      </x:c>
      <x:c r="F15" s="33"/>
      <x:c r="G15" s="33"/>
      <x:c r="H15" s="33"/>
    </x:row>
    <x:row r="16" ht="24" hidden="0" customHeight="1">
      <x:c r="A16" s="33" t="str">
        <x:v>Contact</x:v>
      </x:c>
      <x:c r="B16" s="33" t="str">
        <x:v>Email＞電話＞社群；理想2本人管道</x:v>
      </x:c>
      <x:c r="C16" s="33" t="str">
        <x:v>0</x:v>
      </x:c>
      <x:c r="D16" s="33" t="str">
        <x:v>NOT_STARTED</x:v>
      </x:c>
      <x:c r="E16" s="33" t="str">
        <x:v>只對Direct/待確認人選深搜</x:v>
      </x:c>
      <x:c r="F16" s="33"/>
      <x:c r="G16" s="33"/>
      <x:c r="H16" s="33"/>
    </x:row>
    <x:row r="17" ht="15" hidden="0" customHeight="1">
      <x:c r="A17" s="33" t="str">
        <x:v>Client-ready</x:v>
      </x:c>
      <x:c r="B17" s="33" t="str">
        <x:v>Fit、條件與至少1個外聯入口均確認</x:v>
      </x:c>
      <x:c r="C17" s="33" t="str">
        <x:v>0</x:v>
      </x:c>
      <x:c r="D17" s="33" t="str">
        <x:v>NOT_STARTED</x:v>
      </x:c>
      <x:c r="E17" s="33" t="str">
        <x:v>不得把公開證據等同可推客戶</x:v>
      </x:c>
      <x:c r="F17" s="33"/>
      <x:c r="G17" s="33"/>
      <x:c r="H17" s="33"/>
    </x:row>
    <x:row r="18" ht="15" hidden="0" customHeight="1">
      <x:c r="A18" s="33" t="str">
        <x:v>Audit</x:v>
      </x:c>
      <x:c r="B18" s="33" t="str">
        <x:v>成功、查無、誤認、停止原因均記錄</x:v>
      </x:c>
      <x:c r="C18" s="33" t="str">
        <x:v>0</x:v>
      </x:c>
      <x:c r="D18" s="33" t="str">
        <x:v>NOT_STARTED</x:v>
      </x:c>
      <x:c r="E18" s="33" t="str">
        <x:v>更新Run Log與Source Score</x:v>
      </x:c>
      <x:c r="F18" s="33"/>
      <x:c r="G18" s="33"/>
      <x:c r="H18" s="33"/>
    </x:row>
    <x:row r="19" ht="15" hidden="0" customHeight="1">
      <x:c r="A19" s="37" t="str">
        <x:v>模板不含任何BIM候選人或個人聯絡資料；每個新JD都必須重新路由，不得沿用上一職缺的人選與來源排序。</x:v>
      </x:c>
      <x:c r="B19" s="37"/>
      <x:c r="C19" s="37"/>
      <x:c r="D19" s="37"/>
      <x:c r="E19" s="37"/>
      <x:c r="F19" s="37"/>
      <x:c r="G19" s="37"/>
      <x:c r="H19" s="37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</x:row>
    <x:row r="21" ht="15" hidden="0" customHeight="1">
      <x:c r="A21" s="34" t="str">
        <x:v>五個Benchmark保留於14_Five JD Route Tests，只用於驗證路由差異，不是候選人資料。</x:v>
      </x:c>
      <x:c r="B21" s="34"/>
      <x:c r="C21" s="34"/>
      <x:c r="D21" s="34"/>
      <x:c r="E21" s="34"/>
      <x:c r="F21" s="34"/>
      <x:c r="G21" s="34"/>
      <x:c r="H21" s="34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</x:row>
    <x:row r="23" ht="34" hidden="0" customHeight="1">
      <x:c r="A23" s="39" t="str">
        <x:v>操作順序</x:v>
      </x:c>
      <x:c r="B23" s="39" t="str">
        <x:v>1 Talent DNA</x:v>
      </x:c>
      <x:c r="C23" s="39" t="str">
        <x:v>2 Job Route</x:v>
      </x:c>
      <x:c r="D23" s="39" t="str">
        <x:v>3 Source Map</x:v>
      </x:c>
      <x:c r="E23" s="39" t="str">
        <x:v>4 Raw Leads</x:v>
      </x:c>
      <x:c r="F23" s="39" t="str">
        <x:v>5 Qualified Gate</x:v>
      </x:c>
      <x:c r="G23" s="39" t="str">
        <x:v>6 Contact</x:v>
      </x:c>
      <x:c r="H23" s="39" t="str">
        <x:v>7 Expansion</x:v>
      </x:c>
    </x:row>
    <x:row r="24" ht="15" hidden="0" customHeight="1">
      <x:c r="A24" s="36" t="str">
        <x:v>狀態</x:v>
      </x:c>
      <x:c r="B24" s="36" t="str">
        <x:v>TO_FILL</x:v>
      </x:c>
      <x:c r="C24" s="36" t="str">
        <x:v>TO_ASSIGN</x:v>
      </x:c>
      <x:c r="D24" s="36" t="str">
        <x:v>NOT_STARTED</x:v>
      </x:c>
      <x:c r="E24" s="36" t="str">
        <x:v>0</x:v>
      </x:c>
      <x:c r="F24" s="36" t="str">
        <x:v>0</x:v>
      </x:c>
      <x:c r="G24" s="36" t="str">
        <x:v>0</x:v>
      </x:c>
      <x:c r="H24" s="36" t="str">
        <x:v>NOT_STARTED</x:v>
      </x:c>
    </x:row>
    <x:row r="26" ht="42" customHeight="1">
      <x:c r="A26" s="80" t="str">
        <x:v>V22新增Candidate Archetype Lock與5人校準Gate。任何整批錯誤路由標記FAILED_ROUTE_FALSE_POSITIVE，不得計入可用Candidate Pool。</x:v>
      </x:c>
      <x:c r="B26" s="80"/>
      <x:c r="C26" s="80"/>
      <x:c r="D26" s="80"/>
      <x:c r="E26" s="80"/>
      <x:c r="F26" s="80"/>
      <x:c r="G26" s="80"/>
      <x:c r="H26" s="80"/>
    </x:row>
  </x:sheetData>
  <x:mergeCells>
    <x:mergeCell ref="A1:H1"/>
    <x:mergeCell ref="A6:H6"/>
    <x:mergeCell ref="A19:H19"/>
    <x:mergeCell ref="A21:H21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8" hidden="0" customWidth="1"/>
    <x:col min="5" max="5" width="26" hidden="0" customWidth="1"/>
    <x:col min="6" max="6" width="15" hidden="0" customWidth="1"/>
    <x:col min="7" max="7" width="52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30" hidden="0" customWidth="1"/>
    <x:col min="17" max="17" width="48" hidden="0" customWidth="1"/>
    <x:col min="18" max="18" width="32" hidden="0" customWidth="1"/>
    <x:col min="19" max="19" width="20" hidden="0" customWidth="1"/>
    <x:col min="20" max="20" width="20" hidden="0" customWidth="1"/>
    <x:col min="21" max="21" width="48" hidden="0" customWidth="1"/>
    <x:col min="22" max="22" width="48" hidden="0" customWidth="1"/>
    <x:col min="23" max="23" width="12" hidden="0" customWidth="1"/>
    <x:col min="24" max="24" width="20" hidden="0" customWidth="1"/>
    <x:col min="25" max="25" width="28" hidden="0" customWidth="1"/>
    <x:col min="26" max="26" width="30" hidden="0" customWidth="1"/>
    <x:col min="27" max="27" width="16" hidden="0" customWidth="1"/>
    <x:col min="28" max="28" width="48" hidden="0" customWidth="1"/>
    <x:col min="29" max="29" width="52" hidden="0" customWidth="1"/>
    <x:col min="30" max="30" width="32" hidden="0" customWidth="1"/>
  </x:cols>
  <x:sheetData>
    <x:row r="1" ht="15" hidden="0" customHeight="1">
      <x:c r="A1" s="38" t="str">
        <x:v>Qualified Pool｜Reusable 30-row Candidate Gate</x:v>
      </x:c>
      <x:c r="B1" s="38" t="str">
        <x:v>Qualified Pool｜Reusable 30-row Candidate Gate</x:v>
      </x:c>
      <x:c r="C1" s="38" t="str">
        <x:v>Qualified Pool｜Reusable 30-row Candidate Gate</x:v>
      </x:c>
      <x:c r="D1" s="38" t="str">
        <x:v>Qualified Pool｜Reusable 30-row Candidate Gate</x:v>
      </x:c>
      <x:c r="E1" s="38" t="str">
        <x:v>Qualified Pool｜Reusable 30-row Candidate Gate</x:v>
      </x:c>
      <x:c r="F1" s="38" t="str">
        <x:v>Qualified Pool｜Reusable 30-row Candidate Gate</x:v>
      </x:c>
      <x:c r="G1" s="38" t="str">
        <x:v>Qualified Pool｜Reusable 30-row Candidate Gate</x:v>
      </x:c>
      <x:c r="H1" s="38" t="str">
        <x:v>Qualified Pool｜Reusable 30-row Candidate Gate</x:v>
      </x:c>
      <x:c r="I1" s="38" t="str">
        <x:v>Qualified Pool｜Reusable 30-row Candidate Gate</x:v>
      </x:c>
      <x:c r="J1" s="38" t="str">
        <x:v>Qualified Pool｜Reusable 30-row Candidate Gate</x:v>
      </x:c>
      <x:c r="K1" s="38" t="str">
        <x:v>Qualified Pool｜Reusable 30-row Candidate Gate</x:v>
      </x:c>
      <x:c r="L1" s="38" t="str">
        <x:v>Qualified Pool｜Reusable 30-row Candidate Gate</x:v>
      </x:c>
      <x:c r="M1" s="38" t="str">
        <x:v>Qualified Pool｜Reusable 30-row Candidate Gate</x:v>
      </x:c>
      <x:c r="N1" s="38" t="str">
        <x:v>Qualified Pool｜Reusable 30-row Candidate Gate</x:v>
      </x:c>
      <x:c r="O1" s="38" t="str">
        <x:v>Qualified Pool｜Reusable 30-row Candidate Gate</x:v>
      </x:c>
      <x:c r="P1" s="38" t="str">
        <x:v>Qualified Pool｜Reusable 30-row Candidate Gate</x:v>
      </x:c>
      <x:c r="Q1" s="38" t="str">
        <x:v>Qualified Pool｜Reusable 30-row Candidate Gate</x:v>
      </x:c>
      <x:c r="R1" s="38" t="str">
        <x:v>Qualified Pool｜Reusable 30-row Candidate Gate</x:v>
      </x:c>
      <x:c r="S1" s="38" t="str">
        <x:v>Qualified Pool｜Reusable 30-row Candidate Gate</x:v>
      </x:c>
      <x:c r="T1" s="38" t="str">
        <x:v>Qualified Pool｜Reusable 30-row Candidate Gate</x:v>
      </x:c>
      <x:c r="U1" s="38" t="str">
        <x:v>Qualified Pool｜Reusable 30-row Candidate Gate</x:v>
      </x:c>
      <x:c r="V1" s="38" t="str">
        <x:v>Qualified Pool｜Reusable 30-row Candidate Gate</x:v>
      </x:c>
      <x:c r="W1" s="38" t="str">
        <x:v>Qualified Pool｜Reusable 30-row Candidate Gate</x:v>
      </x:c>
      <x:c r="X1" s="38" t="str">
        <x:v>Qualified Pool｜Reusable 30-row Candidate Gate</x:v>
      </x:c>
      <x:c r="Y1" s="38" t="str">
        <x:v>Qualified Pool｜Reusable 30-row Candidate Gate</x:v>
      </x:c>
      <x:c r="Z1" s="38" t="str">
        <x:v>Qualified Pool｜Reusable 30-row Candidate Gate</x:v>
      </x:c>
      <x:c r="AA1" s="38" t="str">
        <x:v>Qualified Pool｜Reusable 30-row Candidate Gate</x:v>
      </x:c>
      <x:c r="AB1" s="38" t="str">
        <x:v>Qualified Pool｜Reusable 30-row Candidate Gate</x:v>
      </x:c>
      <x:c r="AC1" s="38" t="str">
        <x:v>Qualified Pool｜Reusable 30-row Candidate Gate</x:v>
      </x:c>
      <x:c r="AD1" s="38" t="str">
        <x:v>Qualified Pool｜Reusable 30-row Candidate Gate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  <x:c r="AB2" s="33"/>
      <x:c r="AC2" s="33"/>
      <x:c r="AD2" s="33"/>
    </x:row>
    <x:row r="3" ht="15" hidden="0" customHeight="1">
      <x:c r="A3" s="37" t="str">
        <x:v>只放通過Identity Resolution的人。Fit、Recruitability與Contactability必須分開；所有人均需Source URL。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</x:row>
    <x:row r="4" ht="34" hidden="0" customHeight="1">
      <x:c r="A4" s="39" t="str">
        <x:v>ID</x:v>
      </x:c>
      <x:c r="B4" s="39" t="str">
        <x:v>姓名</x:v>
      </x:c>
      <x:c r="C4" s="39" t="str">
        <x:v>Gate狀態</x:v>
      </x:c>
      <x:c r="D4" s="39" t="str">
        <x:v>Current Company</x:v>
      </x:c>
      <x:c r="E4" s="39" t="str">
        <x:v>Title</x:v>
      </x:c>
      <x:c r="F4" s="39" t="str">
        <x:v>Location</x:v>
      </x:c>
      <x:c r="G4" s="39" t="str">
        <x:v>Hands-on Evidence</x:v>
      </x:c>
      <x:c r="H4" s="39" t="str">
        <x:v>Skill 30</x:v>
      </x:c>
      <x:c r="I4" s="39" t="str">
        <x:v>Industry 20</x:v>
      </x:c>
      <x:c r="J4" s="39" t="str">
        <x:v>Role 20</x:v>
      </x:c>
      <x:c r="K4" s="39" t="str">
        <x:v>Experience 10</x:v>
      </x:c>
      <x:c r="L4" s="39" t="str">
        <x:v>Location 10</x:v>
      </x:c>
      <x:c r="M4" s="39" t="str">
        <x:v>Evidence 10</x:v>
      </x:c>
      <x:c r="N4" s="39" t="str">
        <x:v>Score</x:v>
      </x:c>
      <x:c r="O4" s="39" t="str">
        <x:v>Tier</x:v>
      </x:c>
      <x:c r="P4" s="39" t="str">
        <x:v>Decision</x:v>
      </x:c>
      <x:c r="Q4" s="39" t="str">
        <x:v>Primary Source</x:v>
      </x:c>
      <x:c r="R4" s="39" t="str">
        <x:v>Evidence Source 2</x:v>
      </x:c>
      <x:c r="S4" s="39" t="str">
        <x:v>本人Email</x:v>
      </x:c>
      <x:c r="T4" s="39" t="str">
        <x:v>本人電話</x:v>
      </x:c>
      <x:c r="U4" s="39" t="str">
        <x:v>LinkedIn</x:v>
      </x:c>
      <x:c r="V4" s="39" t="str">
        <x:v>第二社群</x:v>
      </x:c>
      <x:c r="W4" s="39" t="str">
        <x:v>本人管道數</x:v>
      </x:c>
      <x:c r="X4" s="39" t="str">
        <x:v>Contact狀態</x:v>
      </x:c>
      <x:c r="Y4" s="39" t="str">
        <x:v>Salary/Level Risk</x:v>
      </x:c>
      <x:c r="Z4" s="39" t="str">
        <x:v>Work Auth/中文</x:v>
      </x:c>
      <x:c r="AA4" s="39" t="str">
        <x:v>Motorbike</x:v>
      </x:c>
      <x:c r="AB4" s="39" t="str">
        <x:v>Recruiter下一步</x:v>
      </x:c>
      <x:c r="AC4" s="39" t="str">
        <x:v>Why relevant</x:v>
      </x:c>
      <x:c r="AD4" s="39" t="str">
        <x:v>Source mix note</x:v>
      </x:c>
    </x:row>
    <x:row r="5" ht="24" hidden="0" customHeight="1">
      <x:c r="A5" s="33" t="str">
        <x:f>IF(B5="","",ROW()-4)</x:f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 t="str">
        <x:f>IF(B5="","",SUM(H5:M5))</x:f>
      </x:c>
      <x:c r="O5" s="33" t="str">
        <x:f>IF(N5="","",IF(N5&gt;=80,"A",IF(N5&gt;=60,"B",IF(N5&gt;=40,"C","D"))))</x:f>
      </x:c>
      <x:c r="P5" s="33"/>
      <x:c r="Q5" s="33"/>
      <x:c r="R5" s="33"/>
      <x:c r="S5" s="33"/>
      <x:c r="T5" s="33"/>
      <x:c r="U5" s="33"/>
      <x:c r="V5" s="33"/>
      <x:c r="W5" s="33" t="str">
        <x:f>IF(B5="","",COUNTIF(S5:V5,"&lt;&gt;"))</x:f>
      </x:c>
      <x:c r="X5" s="33"/>
      <x:c r="Y5" s="33"/>
      <x:c r="Z5" s="33"/>
      <x:c r="AA5" s="33"/>
      <x:c r="AB5" s="33"/>
      <x:c r="AC5" s="33"/>
      <x:c r="AD5" s="33"/>
    </x:row>
    <x:row r="6" ht="24" hidden="0" customHeight="1">
      <x:c r="A6" s="33" t="str">
        <x:f>IF(B6="","",ROW()-4)</x:f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 t="str">
        <x:f>IF(B6="","",SUM(H6:M6))</x:f>
      </x:c>
      <x:c r="O6" s="33" t="str">
        <x:f>IF(N6="","",IF(N6&gt;=80,"A",IF(N6&gt;=60,"B",IF(N6&gt;=40,"C","D"))))</x:f>
      </x:c>
      <x:c r="P6" s="33"/>
      <x:c r="Q6" s="33"/>
      <x:c r="R6" s="33"/>
      <x:c r="S6" s="33"/>
      <x:c r="T6" s="33"/>
      <x:c r="U6" s="33"/>
      <x:c r="V6" s="33"/>
      <x:c r="W6" s="33" t="str">
        <x:f>IF(B6="","",COUNTIF(S6:V6,"&lt;&gt;"))</x:f>
      </x:c>
      <x:c r="X6" s="33"/>
      <x:c r="Y6" s="33"/>
      <x:c r="Z6" s="33"/>
      <x:c r="AA6" s="33"/>
      <x:c r="AB6" s="33"/>
      <x:c r="AC6" s="33"/>
      <x:c r="AD6" s="33"/>
    </x:row>
    <x:row r="7" ht="24" hidden="0" customHeight="1">
      <x:c r="A7" s="33" t="str">
        <x:f>IF(B7="","",ROW()-4)</x:f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 t="str">
        <x:f>IF(B7="","",SUM(H7:M7))</x:f>
      </x:c>
      <x:c r="O7" s="33" t="str">
        <x:f>IF(N7="","",IF(N7&gt;=80,"A",IF(N7&gt;=60,"B",IF(N7&gt;=40,"C","D"))))</x:f>
      </x:c>
      <x:c r="P7" s="33"/>
      <x:c r="Q7" s="33"/>
      <x:c r="R7" s="33"/>
      <x:c r="S7" s="33"/>
      <x:c r="T7" s="33"/>
      <x:c r="U7" s="33"/>
      <x:c r="V7" s="33"/>
      <x:c r="W7" s="33" t="str">
        <x:f>IF(B7="","",COUNTIF(S7:V7,"&lt;&gt;"))</x:f>
      </x:c>
      <x:c r="X7" s="33"/>
      <x:c r="Y7" s="33"/>
      <x:c r="Z7" s="33"/>
      <x:c r="AA7" s="33"/>
      <x:c r="AB7" s="33"/>
      <x:c r="AC7" s="33"/>
      <x:c r="AD7" s="33"/>
    </x:row>
    <x:row r="8" ht="24" hidden="0" customHeight="1">
      <x:c r="A8" s="33" t="str">
        <x:f>IF(B8="","",ROW()-4)</x:f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 t="str">
        <x:f>IF(B8="","",SUM(H8:M8))</x:f>
      </x:c>
      <x:c r="O8" s="33" t="str">
        <x:f>IF(N8="","",IF(N8&gt;=80,"A",IF(N8&gt;=60,"B",IF(N8&gt;=40,"C","D"))))</x:f>
      </x:c>
      <x:c r="P8" s="33"/>
      <x:c r="Q8" s="33"/>
      <x:c r="R8" s="33"/>
      <x:c r="S8" s="33"/>
      <x:c r="T8" s="33"/>
      <x:c r="U8" s="33"/>
      <x:c r="V8" s="33"/>
      <x:c r="W8" s="33" t="str">
        <x:f>IF(B8="","",COUNTIF(S8:V8,"&lt;&gt;"))</x:f>
      </x:c>
      <x:c r="X8" s="33"/>
      <x:c r="Y8" s="33"/>
      <x:c r="Z8" s="33"/>
      <x:c r="AA8" s="33"/>
      <x:c r="AB8" s="33"/>
      <x:c r="AC8" s="33"/>
      <x:c r="AD8" s="33"/>
    </x:row>
    <x:row r="9" ht="24" hidden="0" customHeight="1">
      <x:c r="A9" s="33" t="str">
        <x:f>IF(B9="","",ROW()-4)</x:f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 t="str">
        <x:f>IF(B9="","",SUM(H9:M9))</x:f>
      </x:c>
      <x:c r="O9" s="33" t="str">
        <x:f>IF(N9="","",IF(N9&gt;=80,"A",IF(N9&gt;=60,"B",IF(N9&gt;=40,"C","D"))))</x:f>
      </x:c>
      <x:c r="P9" s="33"/>
      <x:c r="Q9" s="33"/>
      <x:c r="R9" s="33"/>
      <x:c r="S9" s="33"/>
      <x:c r="T9" s="33"/>
      <x:c r="U9" s="33"/>
      <x:c r="V9" s="33"/>
      <x:c r="W9" s="33" t="str">
        <x:f>IF(B9="","",COUNTIF(S9:V9,"&lt;&gt;"))</x:f>
      </x:c>
      <x:c r="X9" s="33"/>
      <x:c r="Y9" s="33"/>
      <x:c r="Z9" s="33"/>
      <x:c r="AA9" s="33"/>
      <x:c r="AB9" s="33"/>
      <x:c r="AC9" s="33"/>
      <x:c r="AD9" s="33"/>
    </x:row>
    <x:row r="10" ht="24" hidden="0" customHeight="1">
      <x:c r="A10" s="33" t="str">
        <x:f>IF(B10="","",ROW()-4)</x:f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 t="str">
        <x:f>IF(B10="","",SUM(H10:M10))</x:f>
      </x:c>
      <x:c r="O10" s="33" t="str">
        <x:f>IF(N10="","",IF(N10&gt;=80,"A",IF(N10&gt;=60,"B",IF(N10&gt;=40,"C","D"))))</x:f>
      </x:c>
      <x:c r="P10" s="33"/>
      <x:c r="Q10" s="33"/>
      <x:c r="R10" s="33"/>
      <x:c r="S10" s="33"/>
      <x:c r="T10" s="33"/>
      <x:c r="U10" s="33"/>
      <x:c r="V10" s="33"/>
      <x:c r="W10" s="33" t="str">
        <x:f>IF(B10="","",COUNTIF(S10:V10,"&lt;&gt;"))</x:f>
      </x:c>
      <x:c r="X10" s="33"/>
      <x:c r="Y10" s="33"/>
      <x:c r="Z10" s="33"/>
      <x:c r="AA10" s="33"/>
      <x:c r="AB10" s="33"/>
      <x:c r="AC10" s="33"/>
      <x:c r="AD10" s="33"/>
    </x:row>
    <x:row r="11" ht="24" hidden="0" customHeight="1">
      <x:c r="A11" s="33" t="str">
        <x:f>IF(B11="","",ROW()-4)</x:f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 t="str">
        <x:f>IF(B11="","",SUM(H11:M11))</x:f>
      </x:c>
      <x:c r="O11" s="33" t="str">
        <x:f>IF(N11="","",IF(N11&gt;=80,"A",IF(N11&gt;=60,"B",IF(N11&gt;=40,"C","D"))))</x:f>
      </x:c>
      <x:c r="P11" s="33"/>
      <x:c r="Q11" s="33"/>
      <x:c r="R11" s="33"/>
      <x:c r="S11" s="33"/>
      <x:c r="T11" s="33"/>
      <x:c r="U11" s="33"/>
      <x:c r="V11" s="33"/>
      <x:c r="W11" s="33" t="str">
        <x:f>IF(B11="","",COUNTIF(S11:V11,"&lt;&gt;"))</x:f>
      </x:c>
      <x:c r="X11" s="33"/>
      <x:c r="Y11" s="33"/>
      <x:c r="Z11" s="33"/>
      <x:c r="AA11" s="33"/>
      <x:c r="AB11" s="33"/>
      <x:c r="AC11" s="33"/>
      <x:c r="AD11" s="33"/>
    </x:row>
    <x:row r="12" ht="24" hidden="0" customHeight="1">
      <x:c r="A12" s="33" t="str">
        <x:f>IF(B12="","",ROW()-4)</x:f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 t="str">
        <x:f>IF(B12="","",SUM(H12:M12))</x:f>
      </x:c>
      <x:c r="O12" s="33" t="str">
        <x:f>IF(N12="","",IF(N12&gt;=80,"A",IF(N12&gt;=60,"B",IF(N12&gt;=40,"C","D"))))</x:f>
      </x:c>
      <x:c r="P12" s="33"/>
      <x:c r="Q12" s="33"/>
      <x:c r="R12" s="33"/>
      <x:c r="S12" s="33"/>
      <x:c r="T12" s="33"/>
      <x:c r="U12" s="33"/>
      <x:c r="V12" s="33"/>
      <x:c r="W12" s="33" t="str">
        <x:f>IF(B12="","",COUNTIF(S12:V12,"&lt;&gt;"))</x:f>
      </x:c>
      <x:c r="X12" s="33"/>
      <x:c r="Y12" s="33"/>
      <x:c r="Z12" s="33"/>
      <x:c r="AA12" s="33"/>
      <x:c r="AB12" s="33"/>
      <x:c r="AC12" s="33"/>
      <x:c r="AD12" s="33"/>
    </x:row>
    <x:row r="13" ht="24" hidden="0" customHeight="1">
      <x:c r="A13" s="33" t="str">
        <x:f>IF(B13="","",ROW()-4)</x:f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 t="str">
        <x:f>IF(B13="","",SUM(H13:M13))</x:f>
      </x:c>
      <x:c r="O13" s="33" t="str">
        <x:f>IF(N13="","",IF(N13&gt;=80,"A",IF(N13&gt;=60,"B",IF(N13&gt;=40,"C","D"))))</x:f>
      </x:c>
      <x:c r="P13" s="33"/>
      <x:c r="Q13" s="33"/>
      <x:c r="R13" s="33"/>
      <x:c r="S13" s="33"/>
      <x:c r="T13" s="33"/>
      <x:c r="U13" s="33"/>
      <x:c r="V13" s="33"/>
      <x:c r="W13" s="33" t="str">
        <x:f>IF(B13="","",COUNTIF(S13:V13,"&lt;&gt;"))</x:f>
      </x:c>
      <x:c r="X13" s="33"/>
      <x:c r="Y13" s="33"/>
      <x:c r="Z13" s="33"/>
      <x:c r="AA13" s="33"/>
      <x:c r="AB13" s="33"/>
      <x:c r="AC13" s="33"/>
      <x:c r="AD13" s="33"/>
    </x:row>
    <x:row r="14" ht="24" hidden="0" customHeight="1">
      <x:c r="A14" s="33" t="str">
        <x:f>IF(B14="","",ROW()-4)</x:f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 t="str">
        <x:f>IF(B14="","",SUM(H14:M14))</x:f>
      </x:c>
      <x:c r="O14" s="33" t="str">
        <x:f>IF(N14="","",IF(N14&gt;=80,"A",IF(N14&gt;=60,"B",IF(N14&gt;=40,"C","D"))))</x:f>
      </x:c>
      <x:c r="P14" s="33"/>
      <x:c r="Q14" s="33"/>
      <x:c r="R14" s="33"/>
      <x:c r="S14" s="33"/>
      <x:c r="T14" s="33"/>
      <x:c r="U14" s="33"/>
      <x:c r="V14" s="33"/>
      <x:c r="W14" s="33" t="str">
        <x:f>IF(B14="","",COUNTIF(S14:V14,"&lt;&gt;"))</x:f>
      </x:c>
      <x:c r="X14" s="33"/>
      <x:c r="Y14" s="33"/>
      <x:c r="Z14" s="33"/>
      <x:c r="AA14" s="33"/>
      <x:c r="AB14" s="33"/>
      <x:c r="AC14" s="33"/>
      <x:c r="AD14" s="33"/>
    </x:row>
    <x:row r="15" ht="24" hidden="0" customHeight="1">
      <x:c r="A15" s="33" t="str">
        <x:f>IF(B15="","",ROW()-4)</x:f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 t="str">
        <x:f>IF(B15="","",SUM(H15:M15))</x:f>
      </x:c>
      <x:c r="O15" s="33" t="str">
        <x:f>IF(N15="","",IF(N15&gt;=80,"A",IF(N15&gt;=60,"B",IF(N15&gt;=40,"C","D"))))</x:f>
      </x:c>
      <x:c r="P15" s="33"/>
      <x:c r="Q15" s="33"/>
      <x:c r="R15" s="33"/>
      <x:c r="S15" s="33"/>
      <x:c r="T15" s="33"/>
      <x:c r="U15" s="33"/>
      <x:c r="V15" s="33"/>
      <x:c r="W15" s="33" t="str">
        <x:f>IF(B15="","",COUNTIF(S15:V15,"&lt;&gt;"))</x:f>
      </x:c>
      <x:c r="X15" s="33"/>
      <x:c r="Y15" s="33"/>
      <x:c r="Z15" s="33"/>
      <x:c r="AA15" s="33"/>
      <x:c r="AB15" s="33"/>
      <x:c r="AC15" s="33"/>
      <x:c r="AD15" s="33"/>
    </x:row>
    <x:row r="16" ht="24" hidden="0" customHeight="1">
      <x:c r="A16" s="33" t="str">
        <x:f>IF(B16="","",ROW()-4)</x:f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 t="str">
        <x:f>IF(B16="","",SUM(H16:M16))</x:f>
      </x:c>
      <x:c r="O16" s="33" t="str">
        <x:f>IF(N16="","",IF(N16&gt;=80,"A",IF(N16&gt;=60,"B",IF(N16&gt;=40,"C","D"))))</x:f>
      </x:c>
      <x:c r="P16" s="33"/>
      <x:c r="Q16" s="33"/>
      <x:c r="R16" s="33"/>
      <x:c r="S16" s="33"/>
      <x:c r="T16" s="33"/>
      <x:c r="U16" s="33"/>
      <x:c r="V16" s="33"/>
      <x:c r="W16" s="33" t="str">
        <x:f>IF(B16="","",COUNTIF(S16:V16,"&lt;&gt;"))</x:f>
      </x:c>
      <x:c r="X16" s="33"/>
      <x:c r="Y16" s="33"/>
      <x:c r="Z16" s="33"/>
      <x:c r="AA16" s="33"/>
      <x:c r="AB16" s="33"/>
      <x:c r="AC16" s="33"/>
      <x:c r="AD16" s="33"/>
    </x:row>
    <x:row r="17" ht="24" hidden="0" customHeight="1">
      <x:c r="A17" s="33" t="str">
        <x:f>IF(B17="","",ROW()-4)</x:f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 t="str">
        <x:f>IF(B17="","",SUM(H17:M17))</x:f>
      </x:c>
      <x:c r="O17" s="33" t="str">
        <x:f>IF(N17="","",IF(N17&gt;=80,"A",IF(N17&gt;=60,"B",IF(N17&gt;=40,"C","D"))))</x:f>
      </x:c>
      <x:c r="P17" s="33"/>
      <x:c r="Q17" s="33"/>
      <x:c r="R17" s="33"/>
      <x:c r="S17" s="33"/>
      <x:c r="T17" s="33"/>
      <x:c r="U17" s="33"/>
      <x:c r="V17" s="33"/>
      <x:c r="W17" s="33" t="str">
        <x:f>IF(B17="","",COUNTIF(S17:V17,"&lt;&gt;"))</x:f>
      </x:c>
      <x:c r="X17" s="33"/>
      <x:c r="Y17" s="33"/>
      <x:c r="Z17" s="33"/>
      <x:c r="AA17" s="33"/>
      <x:c r="AB17" s="33"/>
      <x:c r="AC17" s="33"/>
      <x:c r="AD17" s="33"/>
    </x:row>
    <x:row r="18" ht="24" hidden="0" customHeight="1">
      <x:c r="A18" s="33" t="str">
        <x:f>IF(B18="","",ROW()-4)</x:f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 t="str">
        <x:f>IF(B18="","",SUM(H18:M18))</x:f>
      </x:c>
      <x:c r="O18" s="33" t="str">
        <x:f>IF(N18="","",IF(N18&gt;=80,"A",IF(N18&gt;=60,"B",IF(N18&gt;=40,"C","D"))))</x:f>
      </x:c>
      <x:c r="P18" s="33"/>
      <x:c r="Q18" s="33"/>
      <x:c r="R18" s="33"/>
      <x:c r="S18" s="33"/>
      <x:c r="T18" s="33"/>
      <x:c r="U18" s="33"/>
      <x:c r="V18" s="33"/>
      <x:c r="W18" s="33" t="str">
        <x:f>IF(B18="","",COUNTIF(S18:V18,"&lt;&gt;"))</x:f>
      </x:c>
      <x:c r="X18" s="33"/>
      <x:c r="Y18" s="33"/>
      <x:c r="Z18" s="33"/>
      <x:c r="AA18" s="33"/>
      <x:c r="AB18" s="33"/>
      <x:c r="AC18" s="33"/>
      <x:c r="AD18" s="33"/>
    </x:row>
    <x:row r="19" ht="24" hidden="0" customHeight="1">
      <x:c r="A19" s="33" t="str">
        <x:f>IF(B19="","",ROW()-4)</x:f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 t="str">
        <x:f>IF(B19="","",SUM(H19:M19))</x:f>
      </x:c>
      <x:c r="O19" s="33" t="str">
        <x:f>IF(N19="","",IF(N19&gt;=80,"A",IF(N19&gt;=60,"B",IF(N19&gt;=40,"C","D"))))</x:f>
      </x:c>
      <x:c r="P19" s="33"/>
      <x:c r="Q19" s="33"/>
      <x:c r="R19" s="33"/>
      <x:c r="S19" s="33"/>
      <x:c r="T19" s="33"/>
      <x:c r="U19" s="33"/>
      <x:c r="V19" s="33"/>
      <x:c r="W19" s="33" t="str">
        <x:f>IF(B19="","",COUNTIF(S19:V19,"&lt;&gt;"))</x:f>
      </x:c>
      <x:c r="X19" s="33"/>
      <x:c r="Y19" s="33"/>
      <x:c r="Z19" s="33"/>
      <x:c r="AA19" s="33"/>
      <x:c r="AB19" s="33"/>
      <x:c r="AC19" s="33"/>
      <x:c r="AD19" s="33"/>
    </x:row>
    <x:row r="20" ht="24" hidden="0" customHeight="1">
      <x:c r="A20" s="33" t="str">
        <x:f>IF(B20="","",ROW()-4)</x:f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 t="str">
        <x:f>IF(B20="","",SUM(H20:M20))</x:f>
      </x:c>
      <x:c r="O20" s="33" t="str">
        <x:f>IF(N20="","",IF(N20&gt;=80,"A",IF(N20&gt;=60,"B",IF(N20&gt;=40,"C","D"))))</x:f>
      </x:c>
      <x:c r="P20" s="33"/>
      <x:c r="Q20" s="33"/>
      <x:c r="R20" s="33"/>
      <x:c r="S20" s="33"/>
      <x:c r="T20" s="33"/>
      <x:c r="U20" s="33"/>
      <x:c r="V20" s="33"/>
      <x:c r="W20" s="33" t="str">
        <x:f>IF(B20="","",COUNTIF(S20:V20,"&lt;&gt;"))</x:f>
      </x:c>
      <x:c r="X20" s="33"/>
      <x:c r="Y20" s="33"/>
      <x:c r="Z20" s="33"/>
      <x:c r="AA20" s="33"/>
      <x:c r="AB20" s="33"/>
      <x:c r="AC20" s="33"/>
      <x:c r="AD20" s="33"/>
    </x:row>
    <x:row r="21" ht="24" hidden="0" customHeight="1">
      <x:c r="A21" s="33" t="str">
        <x:f>IF(B21="","",ROW()-4)</x:f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 t="str">
        <x:f>IF(B21="","",SUM(H21:M21))</x:f>
      </x:c>
      <x:c r="O21" s="33" t="str">
        <x:f>IF(N21="","",IF(N21&gt;=80,"A",IF(N21&gt;=60,"B",IF(N21&gt;=40,"C","D"))))</x:f>
      </x:c>
      <x:c r="P21" s="33"/>
      <x:c r="Q21" s="33"/>
      <x:c r="R21" s="33"/>
      <x:c r="S21" s="33"/>
      <x:c r="T21" s="33"/>
      <x:c r="U21" s="33"/>
      <x:c r="V21" s="33"/>
      <x:c r="W21" s="33" t="str">
        <x:f>IF(B21="","",COUNTIF(S21:V21,"&lt;&gt;"))</x:f>
      </x:c>
      <x:c r="X21" s="33"/>
      <x:c r="Y21" s="33"/>
      <x:c r="Z21" s="33"/>
      <x:c r="AA21" s="33"/>
      <x:c r="AB21" s="33"/>
      <x:c r="AC21" s="33"/>
      <x:c r="AD21" s="33"/>
    </x:row>
    <x:row r="22" ht="24" hidden="0" customHeight="1">
      <x:c r="A22" s="33" t="str">
        <x:f>IF(B22="","",ROW()-4)</x:f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 t="str">
        <x:f>IF(B22="","",SUM(H22:M22))</x:f>
      </x:c>
      <x:c r="O22" s="33" t="str">
        <x:f>IF(N22="","",IF(N22&gt;=80,"A",IF(N22&gt;=60,"B",IF(N22&gt;=40,"C","D"))))</x:f>
      </x:c>
      <x:c r="P22" s="33"/>
      <x:c r="Q22" s="33"/>
      <x:c r="R22" s="33"/>
      <x:c r="S22" s="33"/>
      <x:c r="T22" s="33"/>
      <x:c r="U22" s="33"/>
      <x:c r="V22" s="33"/>
      <x:c r="W22" s="33" t="str">
        <x:f>IF(B22="","",COUNTIF(S22:V22,"&lt;&gt;"))</x:f>
      </x:c>
      <x:c r="X22" s="33"/>
      <x:c r="Y22" s="33"/>
      <x:c r="Z22" s="33"/>
      <x:c r="AA22" s="33"/>
      <x:c r="AB22" s="33"/>
      <x:c r="AC22" s="33"/>
      <x:c r="AD22" s="33"/>
    </x:row>
    <x:row r="23" ht="24" hidden="0" customHeight="1">
      <x:c r="A23" s="33" t="str">
        <x:f>IF(B23="","",ROW()-4)</x:f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 t="str">
        <x:f>IF(B23="","",SUM(H23:M23))</x:f>
      </x:c>
      <x:c r="O23" s="33" t="str">
        <x:f>IF(N23="","",IF(N23&gt;=80,"A",IF(N23&gt;=60,"B",IF(N23&gt;=40,"C","D"))))</x:f>
      </x:c>
      <x:c r="P23" s="33"/>
      <x:c r="Q23" s="33"/>
      <x:c r="R23" s="33"/>
      <x:c r="S23" s="33"/>
      <x:c r="T23" s="33"/>
      <x:c r="U23" s="33"/>
      <x:c r="V23" s="33"/>
      <x:c r="W23" s="33" t="str">
        <x:f>IF(B23="","",COUNTIF(S23:V23,"&lt;&gt;"))</x:f>
      </x:c>
      <x:c r="X23" s="33"/>
      <x:c r="Y23" s="33"/>
      <x:c r="Z23" s="33"/>
      <x:c r="AA23" s="33"/>
      <x:c r="AB23" s="33"/>
      <x:c r="AC23" s="33"/>
      <x:c r="AD23" s="33"/>
    </x:row>
    <x:row r="24" ht="24" hidden="0" customHeight="1">
      <x:c r="A24" s="33" t="str">
        <x:f>IF(B24="","",ROW()-4)</x:f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 t="str">
        <x:f>IF(B24="","",SUM(H24:M24))</x:f>
      </x:c>
      <x:c r="O24" s="33" t="str">
        <x:f>IF(N24="","",IF(N24&gt;=80,"A",IF(N24&gt;=60,"B",IF(N24&gt;=40,"C","D"))))</x:f>
      </x:c>
      <x:c r="P24" s="33"/>
      <x:c r="Q24" s="33"/>
      <x:c r="R24" s="33"/>
      <x:c r="S24" s="33"/>
      <x:c r="T24" s="33"/>
      <x:c r="U24" s="33"/>
      <x:c r="V24" s="33"/>
      <x:c r="W24" s="33" t="str">
        <x:f>IF(B24="","",COUNTIF(S24:V24,"&lt;&gt;"))</x:f>
      </x:c>
      <x:c r="X24" s="33"/>
      <x:c r="Y24" s="33"/>
      <x:c r="Z24" s="33"/>
      <x:c r="AA24" s="33"/>
      <x:c r="AB24" s="33"/>
      <x:c r="AC24" s="33"/>
      <x:c r="AD24" s="33"/>
    </x:row>
    <x:row r="25" ht="24" hidden="0" customHeight="1">
      <x:c r="A25" s="33" t="str">
        <x:f>IF(B25="","",ROW()-4)</x:f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 t="str">
        <x:f>IF(B25="","",SUM(H25:M25))</x:f>
      </x:c>
      <x:c r="O25" s="33" t="str">
        <x:f>IF(N25="","",IF(N25&gt;=80,"A",IF(N25&gt;=60,"B",IF(N25&gt;=40,"C","D"))))</x:f>
      </x:c>
      <x:c r="P25" s="33"/>
      <x:c r="Q25" s="33"/>
      <x:c r="R25" s="33"/>
      <x:c r="S25" s="33"/>
      <x:c r="T25" s="33"/>
      <x:c r="U25" s="33"/>
      <x:c r="V25" s="33"/>
      <x:c r="W25" s="33" t="str">
        <x:f>IF(B25="","",COUNTIF(S25:V25,"&lt;&gt;"))</x:f>
      </x:c>
      <x:c r="X25" s="33"/>
      <x:c r="Y25" s="33"/>
      <x:c r="Z25" s="33"/>
      <x:c r="AA25" s="33"/>
      <x:c r="AB25" s="33"/>
      <x:c r="AC25" s="33"/>
      <x:c r="AD25" s="33"/>
    </x:row>
    <x:row r="26" ht="24" hidden="0" customHeight="1">
      <x:c r="A26" s="33" t="str">
        <x:f>IF(B26="","",ROW()-4)</x:f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 t="str">
        <x:f>IF(B26="","",SUM(H26:M26))</x:f>
      </x:c>
      <x:c r="O26" s="33" t="str">
        <x:f>IF(N26="","",IF(N26&gt;=80,"A",IF(N26&gt;=60,"B",IF(N26&gt;=40,"C","D"))))</x:f>
      </x:c>
      <x:c r="P26" s="33"/>
      <x:c r="Q26" s="33"/>
      <x:c r="R26" s="33"/>
      <x:c r="S26" s="33"/>
      <x:c r="T26" s="33"/>
      <x:c r="U26" s="33"/>
      <x:c r="V26" s="33"/>
      <x:c r="W26" s="33" t="str">
        <x:f>IF(B26="","",COUNTIF(S26:V26,"&lt;&gt;"))</x:f>
      </x:c>
      <x:c r="X26" s="33"/>
      <x:c r="Y26" s="33"/>
      <x:c r="Z26" s="33"/>
      <x:c r="AA26" s="33"/>
      <x:c r="AB26" s="33"/>
      <x:c r="AC26" s="33"/>
      <x:c r="AD26" s="33"/>
    </x:row>
    <x:row r="27" ht="24" hidden="0" customHeight="1">
      <x:c r="A27" s="33" t="str">
        <x:f>IF(B27="","",ROW()-4)</x:f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 t="str">
        <x:f>IF(B27="","",SUM(H27:M27))</x:f>
      </x:c>
      <x:c r="O27" s="33" t="str">
        <x:f>IF(N27="","",IF(N27&gt;=80,"A",IF(N27&gt;=60,"B",IF(N27&gt;=40,"C","D"))))</x:f>
      </x:c>
      <x:c r="P27" s="33"/>
      <x:c r="Q27" s="33"/>
      <x:c r="R27" s="33"/>
      <x:c r="S27" s="33"/>
      <x:c r="T27" s="33"/>
      <x:c r="U27" s="33"/>
      <x:c r="V27" s="33"/>
      <x:c r="W27" s="33" t="str">
        <x:f>IF(B27="","",COUNTIF(S27:V27,"&lt;&gt;"))</x:f>
      </x:c>
      <x:c r="X27" s="33"/>
      <x:c r="Y27" s="33"/>
      <x:c r="Z27" s="33"/>
      <x:c r="AA27" s="33"/>
      <x:c r="AB27" s="33"/>
      <x:c r="AC27" s="33"/>
      <x:c r="AD27" s="33"/>
    </x:row>
    <x:row r="28" ht="24" hidden="0" customHeight="1">
      <x:c r="A28" s="33" t="str">
        <x:f>IF(B28="","",ROW()-4)</x:f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 t="str">
        <x:f>IF(B28="","",SUM(H28:M28))</x:f>
      </x:c>
      <x:c r="O28" s="33" t="str">
        <x:f>IF(N28="","",IF(N28&gt;=80,"A",IF(N28&gt;=60,"B",IF(N28&gt;=40,"C","D"))))</x:f>
      </x:c>
      <x:c r="P28" s="33"/>
      <x:c r="Q28" s="33"/>
      <x:c r="R28" s="33"/>
      <x:c r="S28" s="33"/>
      <x:c r="T28" s="33"/>
      <x:c r="U28" s="33"/>
      <x:c r="V28" s="33"/>
      <x:c r="W28" s="33" t="str">
        <x:f>IF(B28="","",COUNTIF(S28:V28,"&lt;&gt;"))</x:f>
      </x:c>
      <x:c r="X28" s="33"/>
      <x:c r="Y28" s="33"/>
      <x:c r="Z28" s="33"/>
      <x:c r="AA28" s="33"/>
      <x:c r="AB28" s="33"/>
      <x:c r="AC28" s="33"/>
      <x:c r="AD28" s="33"/>
    </x:row>
    <x:row r="29" ht="15" hidden="0" customHeight="1">
      <x:c r="A29" s="33" t="str">
        <x:f>IF(B29="","",ROW()-4)</x:f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 t="str">
        <x:f>IF(B29="","",SUM(H29:M29))</x:f>
      </x:c>
      <x:c r="O29" s="33" t="str">
        <x:f>IF(N29="","",IF(N29&gt;=80,"A",IF(N29&gt;=60,"B",IF(N29&gt;=40,"C","D"))))</x:f>
      </x:c>
      <x:c r="P29" s="33"/>
      <x:c r="Q29" s="33"/>
      <x:c r="R29" s="33"/>
      <x:c r="S29" s="33"/>
      <x:c r="T29" s="33"/>
      <x:c r="U29" s="33"/>
      <x:c r="V29" s="33"/>
      <x:c r="W29" s="33" t="str">
        <x:f>IF(B29="","",COUNTIF(S29:V29,"&lt;&gt;"))</x:f>
      </x:c>
      <x:c r="X29" s="33"/>
      <x:c r="Y29" s="33"/>
      <x:c r="Z29" s="33"/>
      <x:c r="AA29" s="33"/>
      <x:c r="AB29" s="33"/>
      <x:c r="AC29" s="33"/>
      <x:c r="AD29" s="33"/>
    </x:row>
    <x:row r="30" ht="24" hidden="0" customHeight="1">
      <x:c r="A30" s="33" t="str">
        <x:f>IF(B30="","",ROW()-4)</x:f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 t="str">
        <x:f>IF(B30="","",SUM(H30:M30))</x:f>
      </x:c>
      <x:c r="O30" s="33" t="str">
        <x:f>IF(N30="","",IF(N30&gt;=80,"A",IF(N30&gt;=60,"B",IF(N30&gt;=40,"C","D"))))</x:f>
      </x:c>
      <x:c r="P30" s="33"/>
      <x:c r="Q30" s="33"/>
      <x:c r="R30" s="33"/>
      <x:c r="S30" s="33"/>
      <x:c r="T30" s="33"/>
      <x:c r="U30" s="33"/>
      <x:c r="V30" s="33"/>
      <x:c r="W30" s="33" t="str">
        <x:f>IF(B30="","",COUNTIF(S30:V30,"&lt;&gt;"))</x:f>
      </x:c>
      <x:c r="X30" s="33"/>
      <x:c r="Y30" s="33"/>
      <x:c r="Z30" s="33"/>
      <x:c r="AA30" s="33"/>
      <x:c r="AB30" s="33"/>
      <x:c r="AC30" s="33"/>
      <x:c r="AD30" s="33"/>
    </x:row>
    <x:row r="31" ht="24" hidden="0" customHeight="1">
      <x:c r="A31" s="33" t="str">
        <x:f>IF(B31="","",ROW()-4)</x:f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 t="str">
        <x:f>IF(B31="","",SUM(H31:M31))</x:f>
      </x:c>
      <x:c r="O31" s="33" t="str">
        <x:f>IF(N31="","",IF(N31&gt;=80,"A",IF(N31&gt;=60,"B",IF(N31&gt;=40,"C","D"))))</x:f>
      </x:c>
      <x:c r="P31" s="33"/>
      <x:c r="Q31" s="33"/>
      <x:c r="R31" s="33"/>
      <x:c r="S31" s="33"/>
      <x:c r="T31" s="33"/>
      <x:c r="U31" s="33"/>
      <x:c r="V31" s="33"/>
      <x:c r="W31" s="33" t="str">
        <x:f>IF(B31="","",COUNTIF(S31:V31,"&lt;&gt;"))</x:f>
      </x:c>
      <x:c r="X31" s="33"/>
      <x:c r="Y31" s="33"/>
      <x:c r="Z31" s="33"/>
      <x:c r="AA31" s="33"/>
      <x:c r="AB31" s="33"/>
      <x:c r="AC31" s="33"/>
      <x:c r="AD31" s="33"/>
    </x:row>
    <x:row r="32" ht="15" hidden="0" customHeight="1">
      <x:c r="A32" s="33" t="str">
        <x:f>IF(B32="","",ROW()-4)</x:f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 t="str">
        <x:f>IF(B32="","",SUM(H32:M32))</x:f>
      </x:c>
      <x:c r="O32" s="33" t="str">
        <x:f>IF(N32="","",IF(N32&gt;=80,"A",IF(N32&gt;=60,"B",IF(N32&gt;=40,"C","D"))))</x:f>
      </x:c>
      <x:c r="P32" s="33"/>
      <x:c r="Q32" s="33"/>
      <x:c r="R32" s="33"/>
      <x:c r="S32" s="33"/>
      <x:c r="T32" s="33"/>
      <x:c r="U32" s="33"/>
      <x:c r="V32" s="33"/>
      <x:c r="W32" s="33" t="str">
        <x:f>IF(B32="","",COUNTIF(S32:V32,"&lt;&gt;"))</x:f>
      </x:c>
      <x:c r="X32" s="33"/>
      <x:c r="Y32" s="33"/>
      <x:c r="Z32" s="33"/>
      <x:c r="AA32" s="33"/>
      <x:c r="AB32" s="33"/>
      <x:c r="AC32" s="33"/>
      <x:c r="AD32" s="33"/>
    </x:row>
    <x:row r="33" ht="24" hidden="0" customHeight="1">
      <x:c r="A33" s="33" t="str">
        <x:f>IF(B33="","",ROW()-4)</x:f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 t="str">
        <x:f>IF(B33="","",SUM(H33:M33))</x:f>
      </x:c>
      <x:c r="O33" s="33" t="str">
        <x:f>IF(N33="","",IF(N33&gt;=80,"A",IF(N33&gt;=60,"B",IF(N33&gt;=40,"C","D"))))</x:f>
      </x:c>
      <x:c r="P33" s="33"/>
      <x:c r="Q33" s="33"/>
      <x:c r="R33" s="33"/>
      <x:c r="S33" s="33"/>
      <x:c r="T33" s="33"/>
      <x:c r="U33" s="33"/>
      <x:c r="V33" s="33"/>
      <x:c r="W33" s="33" t="str">
        <x:f>IF(B33="","",COUNTIF(S33:V33,"&lt;&gt;"))</x:f>
      </x:c>
      <x:c r="X33" s="33"/>
      <x:c r="Y33" s="33"/>
      <x:c r="Z33" s="33"/>
      <x:c r="AA33" s="33"/>
      <x:c r="AB33" s="33"/>
      <x:c r="AC33" s="33"/>
      <x:c r="AD33" s="33"/>
    </x:row>
    <x:row r="34" ht="15" hidden="0" customHeight="1">
      <x:c r="A34" s="33" t="str">
        <x:f>IF(B34="","",ROW()-4)</x:f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 t="str">
        <x:f>IF(B34="","",SUM(H34:M34))</x:f>
      </x:c>
      <x:c r="O34" s="33" t="str">
        <x:f>IF(N34="","",IF(N34&gt;=80,"A",IF(N34&gt;=60,"B",IF(N34&gt;=40,"C","D"))))</x:f>
      </x:c>
      <x:c r="P34" s="33"/>
      <x:c r="Q34" s="33"/>
      <x:c r="R34" s="33"/>
      <x:c r="S34" s="33"/>
      <x:c r="T34" s="33"/>
      <x:c r="U34" s="33"/>
      <x:c r="V34" s="33"/>
      <x:c r="W34" s="33" t="str">
        <x:f>IF(B34="","",COUNTIF(S34:V34,"&lt;&gt;"))</x:f>
      </x:c>
      <x:c r="X34" s="33"/>
      <x:c r="Y34" s="33"/>
      <x:c r="Z34" s="33"/>
      <x:c r="AA34" s="33"/>
      <x:c r="AB34" s="33"/>
      <x:c r="AC34" s="33"/>
      <x:c r="AD34" s="33"/>
    </x:row>
  </x:sheetData>
  <x:mergeCells>
    <x:mergeCell ref="A1:AD1"/>
    <x:mergeCell ref="A3:AD3"/>
  </x:mergeCells>
  <x:conditionalFormatting sqref="C5:C34">
    <x:cfRule type="containsText" dxfId="0" priority="1" operator="containsText" text="QUALIFIED_PUBLIC"/>
    <x:cfRule type="containsText" dxfId="1" priority="2" operator="containsText" text="CONTACT_AFTER"/>
  </x:conditionalFormatting>
  <x:conditionalFormatting sqref="N5:N34">
    <x:cfRule type="dataBar" priority="3">
      <x:dataBar>
        <x:cfvo type="min"/>
        <x:cfvo type="max"/>
        <x:color rgb="FF0B7A75"/>
      </x:dataBar>
      <x:extLst>
        <x:ext xmlns:x14="http://schemas.microsoft.com/office/spreadsheetml/2009/9/main" uri="{B025F937-C7B1-47D3-B67F-A62EFF666E3E}">
          <x14:id>{C1199604-18A3-0523-27D2-B91D394B6BEA}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0b042bd38164e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1199604-18A3-0523-27D2-B91D394B6BEA}">
            <x14:dataBar gradient="1">
              <x14:cfvo type="min"/>
              <x14:cfvo type="max"/>
              <x14:fillColor rgb="FF0B7A75"/>
            </x14:dataBar>
          </x14:cfRule>
          <xm:sqref>N5:N34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2" hidden="0" customWidth="1"/>
    <x:col min="5" max="5" width="48" hidden="0" customWidth="1"/>
    <x:col min="6" max="6" width="48" hidden="0" customWidth="1"/>
    <x:col min="7" max="7" width="20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55" hidden="0" customWidth="1"/>
    <x:col min="13" max="13" width="55" hidden="0" customWidth="1"/>
    <x:col min="14" max="14" width="48" hidden="0" customWidth="1"/>
  </x:cols>
  <x:sheetData>
    <x:row r="1" ht="15" hidden="0" customHeight="1">
      <x:c r="A1" s="38" t="str">
        <x:v>Contact Enrichment｜只處理已通過/待確認 Gate 的人選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3" ht="15" hidden="0" customHeight="1">
      <x:c r="A3" s="34" t="str">
        <x:v>優先序：本人公開Email → 本人公開電話 → 本人社群。公司總機、系辦、學術Email與推定Email不算本人管道；同名結果沒有公司/學校/職域錨點就排除。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34" hidden="0" customHeight="1">
      <x:c r="A4" s="39" t="str">
        <x:v>姓名</x:v>
      </x:c>
      <x:c r="B4" s="39" t="str">
        <x:v>Fit Score</x:v>
      </x:c>
      <x:c r="C4" s="39" t="str">
        <x:v>本人公開Email</x:v>
      </x:c>
      <x:c r="D4" s="39" t="str">
        <x:v>本人公開電話</x:v>
      </x:c>
      <x:c r="E4" s="39" t="str">
        <x:v>LinkedIn</x:v>
      </x:c>
      <x:c r="F4" s="39" t="str">
        <x:v>第二社群</x:v>
      </x:c>
      <x:c r="G4" s="39" t="str">
        <x:v>第三社群</x:v>
      </x:c>
      <x:c r="H4" s="39" t="str">
        <x:v>本人管道數</x:v>
      </x:c>
      <x:c r="I4" s="39" t="str">
        <x:v>Email查找狀態</x:v>
      </x:c>
      <x:c r="J4" s="39" t="str">
        <x:v>電話查找狀態</x:v>
      </x:c>
      <x:c r="K4" s="39" t="str">
        <x:v>社群驗證</x:v>
      </x:c>
      <x:c r="L4" s="39" t="str">
        <x:v>最近搜尋結論</x:v>
      </x:c>
      <x:c r="M4" s="39" t="str">
        <x:v>停止/續查規則</x:v>
      </x:c>
      <x:c r="N4" s="39" t="str">
        <x:v>來源</x:v>
      </x:c>
    </x:row>
    <x:row r="5" ht="15" hidden="0" customHeight="1">
      <x:c r="A5" s="33" t="str">
        <x:f>IF('01_Qualified Pool'!B5="","",'01_Qualified Pool'!B5)</x:f>
      </x:c>
      <x:c r="B5" s="33" t="str">
        <x:f>IF(A5="","",'01_Qualified Pool'!N5)</x:f>
      </x:c>
      <x:c r="C5" s="33"/>
      <x:c r="D5" s="33"/>
      <x:c r="E5" s="33"/>
      <x:c r="F5" s="33"/>
      <x:c r="G5" s="33"/>
      <x:c r="H5" s="33" t="str">
        <x:f>IF(A5="","",COUNTIF(C5:G5,"&lt;&gt;"))</x:f>
      </x:c>
      <x:c r="I5" s="33" t="str">
        <x:f>IF(A5="","","NOT_STARTED")</x:f>
      </x:c>
      <x:c r="J5" s="33" t="str">
        <x:f>IF(A5="","","NOT_STARTED")</x:f>
      </x:c>
      <x:c r="K5" s="33" t="str">
        <x:f>IF(A5="","","NOT_STARTED")</x:f>
      </x:c>
      <x:c r="L5" s="33"/>
      <x:c r="M5" s="33"/>
      <x:c r="N5" s="33"/>
    </x:row>
    <x:row r="6" ht="15" hidden="0" customHeight="1">
      <x:c r="A6" s="33" t="str">
        <x:f>IF('01_Qualified Pool'!B6="","",'01_Qualified Pool'!B6)</x:f>
      </x:c>
      <x:c r="B6" s="33" t="str">
        <x:f>IF(A6="","",'01_Qualified Pool'!N6)</x:f>
      </x:c>
      <x:c r="C6" s="33"/>
      <x:c r="D6" s="33"/>
      <x:c r="E6" s="33"/>
      <x:c r="F6" s="33"/>
      <x:c r="G6" s="33"/>
      <x:c r="H6" s="33" t="str">
        <x:f>IF(A6="","",COUNTIF(C6:G6,"&lt;&gt;"))</x:f>
      </x:c>
      <x:c r="I6" s="33" t="str">
        <x:f>IF(A6="","","NOT_STARTED")</x:f>
      </x:c>
      <x:c r="J6" s="33" t="str">
        <x:f>IF(A6="","","NOT_STARTED")</x:f>
      </x:c>
      <x:c r="K6" s="33" t="str">
        <x:f>IF(A6="","","NOT_STARTED")</x:f>
      </x:c>
      <x:c r="L6" s="33"/>
      <x:c r="M6" s="33"/>
      <x:c r="N6" s="33"/>
    </x:row>
    <x:row r="7" ht="24" hidden="0" customHeight="1">
      <x:c r="A7" s="33" t="str">
        <x:f>IF('01_Qualified Pool'!B7="","",'01_Qualified Pool'!B7)</x:f>
      </x:c>
      <x:c r="B7" s="33" t="str">
        <x:f>IF(A7="","",'01_Qualified Pool'!N7)</x:f>
      </x:c>
      <x:c r="C7" s="33"/>
      <x:c r="D7" s="33"/>
      <x:c r="E7" s="33"/>
      <x:c r="F7" s="33"/>
      <x:c r="G7" s="33"/>
      <x:c r="H7" s="33" t="str">
        <x:f>IF(A7="","",COUNTIF(C7:G7,"&lt;&gt;"))</x:f>
      </x:c>
      <x:c r="I7" s="33" t="str">
        <x:f>IF(A7="","","NOT_STARTED")</x:f>
      </x:c>
      <x:c r="J7" s="33" t="str">
        <x:f>IF(A7="","","NOT_STARTED")</x:f>
      </x:c>
      <x:c r="K7" s="33" t="str">
        <x:f>IF(A7="","","NOT_STARTED")</x:f>
      </x:c>
      <x:c r="L7" s="33"/>
      <x:c r="M7" s="33"/>
      <x:c r="N7" s="33"/>
    </x:row>
    <x:row r="8" ht="24" hidden="0" customHeight="1">
      <x:c r="A8" s="33" t="str">
        <x:f>IF('01_Qualified Pool'!B8="","",'01_Qualified Pool'!B8)</x:f>
      </x:c>
      <x:c r="B8" s="33" t="str">
        <x:f>IF(A8="","",'01_Qualified Pool'!N8)</x:f>
      </x:c>
      <x:c r="C8" s="33"/>
      <x:c r="D8" s="33"/>
      <x:c r="E8" s="33"/>
      <x:c r="F8" s="33"/>
      <x:c r="G8" s="33"/>
      <x:c r="H8" s="33" t="str">
        <x:f>IF(A8="","",COUNTIF(C8:G8,"&lt;&gt;"))</x:f>
      </x:c>
      <x:c r="I8" s="33" t="str">
        <x:f>IF(A8="","","NOT_STARTED")</x:f>
      </x:c>
      <x:c r="J8" s="33" t="str">
        <x:f>IF(A8="","","NOT_STARTED")</x:f>
      </x:c>
      <x:c r="K8" s="33" t="str">
        <x:f>IF(A8="","","NOT_STARTED")</x:f>
      </x:c>
      <x:c r="L8" s="33"/>
      <x:c r="M8" s="33"/>
      <x:c r="N8" s="33"/>
    </x:row>
    <x:row r="9" ht="24" hidden="0" customHeight="1">
      <x:c r="A9" s="33" t="str">
        <x:f>IF('01_Qualified Pool'!B9="","",'01_Qualified Pool'!B9)</x:f>
      </x:c>
      <x:c r="B9" s="33" t="str">
        <x:f>IF(A9="","",'01_Qualified Pool'!N9)</x:f>
      </x:c>
      <x:c r="C9" s="33"/>
      <x:c r="D9" s="33"/>
      <x:c r="E9" s="33"/>
      <x:c r="F9" s="33"/>
      <x:c r="G9" s="33"/>
      <x:c r="H9" s="33" t="str">
        <x:f>IF(A9="","",COUNTIF(C9:G9,"&lt;&gt;"))</x:f>
      </x:c>
      <x:c r="I9" s="33" t="str">
        <x:f>IF(A9="","","NOT_STARTED")</x:f>
      </x:c>
      <x:c r="J9" s="33" t="str">
        <x:f>IF(A9="","","NOT_STARTED")</x:f>
      </x:c>
      <x:c r="K9" s="33" t="str">
        <x:f>IF(A9="","","NOT_STARTED")</x:f>
      </x:c>
      <x:c r="L9" s="33"/>
      <x:c r="M9" s="33"/>
      <x:c r="N9" s="33"/>
    </x:row>
    <x:row r="10" ht="24" hidden="0" customHeight="1">
      <x:c r="A10" s="33" t="str">
        <x:f>IF('01_Qualified Pool'!B10="","",'01_Qualified Pool'!B10)</x:f>
      </x:c>
      <x:c r="B10" s="33" t="str">
        <x:f>IF(A10="","",'01_Qualified Pool'!N10)</x:f>
      </x:c>
      <x:c r="C10" s="33"/>
      <x:c r="D10" s="33"/>
      <x:c r="E10" s="33"/>
      <x:c r="F10" s="33"/>
      <x:c r="G10" s="33"/>
      <x:c r="H10" s="33" t="str">
        <x:f>IF(A10="","",COUNTIF(C10:G10,"&lt;&gt;"))</x:f>
      </x:c>
      <x:c r="I10" s="33" t="str">
        <x:f>IF(A10="","","NOT_STARTED")</x:f>
      </x:c>
      <x:c r="J10" s="33" t="str">
        <x:f>IF(A10="","","NOT_STARTED")</x:f>
      </x:c>
      <x:c r="K10" s="33" t="str">
        <x:f>IF(A10="","","NOT_STARTED")</x:f>
      </x:c>
      <x:c r="L10" s="33"/>
      <x:c r="M10" s="33"/>
      <x:c r="N10" s="33"/>
    </x:row>
    <x:row r="11" ht="24" hidden="0" customHeight="1">
      <x:c r="A11" s="33" t="str">
        <x:f>IF('01_Qualified Pool'!B11="","",'01_Qualified Pool'!B11)</x:f>
      </x:c>
      <x:c r="B11" s="33" t="str">
        <x:f>IF(A11="","",'01_Qualified Pool'!N11)</x:f>
      </x:c>
      <x:c r="C11" s="33"/>
      <x:c r="D11" s="33"/>
      <x:c r="E11" s="33"/>
      <x:c r="F11" s="33"/>
      <x:c r="G11" s="33"/>
      <x:c r="H11" s="33" t="str">
        <x:f>IF(A11="","",COUNTIF(C11:G11,"&lt;&gt;"))</x:f>
      </x:c>
      <x:c r="I11" s="33" t="str">
        <x:f>IF(A11="","","NOT_STARTED")</x:f>
      </x:c>
      <x:c r="J11" s="33" t="str">
        <x:f>IF(A11="","","NOT_STARTED")</x:f>
      </x:c>
      <x:c r="K11" s="33" t="str">
        <x:f>IF(A11="","","NOT_STARTED")</x:f>
      </x:c>
      <x:c r="L11" s="33"/>
      <x:c r="M11" s="33"/>
      <x:c r="N11" s="33"/>
    </x:row>
    <x:row r="12" ht="15" hidden="0" customHeight="1">
      <x:c r="A12" s="33" t="str">
        <x:f>IF('01_Qualified Pool'!B12="","",'01_Qualified Pool'!B12)</x:f>
      </x:c>
      <x:c r="B12" s="33" t="str">
        <x:f>IF(A12="","",'01_Qualified Pool'!N12)</x:f>
      </x:c>
      <x:c r="C12" s="33"/>
      <x:c r="D12" s="33"/>
      <x:c r="E12" s="33"/>
      <x:c r="F12" s="33"/>
      <x:c r="G12" s="33"/>
      <x:c r="H12" s="33" t="str">
        <x:f>IF(A12="","",COUNTIF(C12:G12,"&lt;&gt;"))</x:f>
      </x:c>
      <x:c r="I12" s="33" t="str">
        <x:f>IF(A12="","","NOT_STARTED")</x:f>
      </x:c>
      <x:c r="J12" s="33" t="str">
        <x:f>IF(A12="","","NOT_STARTED")</x:f>
      </x:c>
      <x:c r="K12" s="33" t="str">
        <x:f>IF(A12="","","NOT_STARTED")</x:f>
      </x:c>
      <x:c r="L12" s="33"/>
      <x:c r="M12" s="33"/>
      <x:c r="N12" s="33"/>
    </x:row>
    <x:row r="13" ht="15" hidden="0" customHeight="1">
      <x:c r="A13" s="33" t="str">
        <x:f>IF('01_Qualified Pool'!B13="","",'01_Qualified Pool'!B13)</x:f>
      </x:c>
      <x:c r="B13" s="33" t="str">
        <x:f>IF(A13="","",'01_Qualified Pool'!N13)</x:f>
      </x:c>
      <x:c r="C13" s="33"/>
      <x:c r="D13" s="33"/>
      <x:c r="E13" s="33"/>
      <x:c r="F13" s="33"/>
      <x:c r="G13" s="33"/>
      <x:c r="H13" s="33" t="str">
        <x:f>IF(A13="","",COUNTIF(C13:G13,"&lt;&gt;"))</x:f>
      </x:c>
      <x:c r="I13" s="33" t="str">
        <x:f>IF(A13="","","NOT_STARTED")</x:f>
      </x:c>
      <x:c r="J13" s="33" t="str">
        <x:f>IF(A13="","","NOT_STARTED")</x:f>
      </x:c>
      <x:c r="K13" s="33" t="str">
        <x:f>IF(A13="","","NOT_STARTED")</x:f>
      </x:c>
      <x:c r="L13" s="33"/>
      <x:c r="M13" s="33"/>
      <x:c r="N13" s="33"/>
    </x:row>
    <x:row r="14" ht="15" hidden="0" customHeight="1">
      <x:c r="A14" s="33" t="str">
        <x:f>IF('01_Qualified Pool'!B14="","",'01_Qualified Pool'!B14)</x:f>
      </x:c>
      <x:c r="B14" s="33" t="str">
        <x:f>IF(A14="","",'01_Qualified Pool'!N14)</x:f>
      </x:c>
      <x:c r="C14" s="33"/>
      <x:c r="D14" s="33"/>
      <x:c r="E14" s="33"/>
      <x:c r="F14" s="33"/>
      <x:c r="G14" s="33"/>
      <x:c r="H14" s="33" t="str">
        <x:f>IF(A14="","",COUNTIF(C14:G14,"&lt;&gt;"))</x:f>
      </x:c>
      <x:c r="I14" s="33" t="str">
        <x:f>IF(A14="","","NOT_STARTED")</x:f>
      </x:c>
      <x:c r="J14" s="33" t="str">
        <x:f>IF(A14="","","NOT_STARTED")</x:f>
      </x:c>
      <x:c r="K14" s="33" t="str">
        <x:f>IF(A14="","","NOT_STARTED")</x:f>
      </x:c>
      <x:c r="L14" s="33"/>
      <x:c r="M14" s="33"/>
      <x:c r="N14" s="33"/>
    </x:row>
    <x:row r="15" ht="15" hidden="0" customHeight="1">
      <x:c r="A15" s="33" t="str">
        <x:f>IF('01_Qualified Pool'!B15="","",'01_Qualified Pool'!B15)</x:f>
      </x:c>
      <x:c r="B15" s="33" t="str">
        <x:f>IF(A15="","",'01_Qualified Pool'!N15)</x:f>
      </x:c>
      <x:c r="C15" s="33"/>
      <x:c r="D15" s="33"/>
      <x:c r="E15" s="33"/>
      <x:c r="F15" s="33"/>
      <x:c r="G15" s="33"/>
      <x:c r="H15" s="33" t="str">
        <x:f>IF(A15="","",COUNTIF(C15:G15,"&lt;&gt;"))</x:f>
      </x:c>
      <x:c r="I15" s="33" t="str">
        <x:f>IF(A15="","","NOT_STARTED")</x:f>
      </x:c>
      <x:c r="J15" s="33" t="str">
        <x:f>IF(A15="","","NOT_STARTED")</x:f>
      </x:c>
      <x:c r="K15" s="33" t="str">
        <x:f>IF(A15="","","NOT_STARTED")</x:f>
      </x:c>
      <x:c r="L15" s="33"/>
      <x:c r="M15" s="33"/>
      <x:c r="N15" s="33"/>
    </x:row>
    <x:row r="16" ht="15" hidden="0" customHeight="1">
      <x:c r="A16" s="33" t="str">
        <x:f>IF('01_Qualified Pool'!B16="","",'01_Qualified Pool'!B16)</x:f>
      </x:c>
      <x:c r="B16" s="33" t="str">
        <x:f>IF(A16="","",'01_Qualified Pool'!N16)</x:f>
      </x:c>
      <x:c r="C16" s="33"/>
      <x:c r="D16" s="33"/>
      <x:c r="E16" s="33"/>
      <x:c r="F16" s="33"/>
      <x:c r="G16" s="33"/>
      <x:c r="H16" s="33" t="str">
        <x:f>IF(A16="","",COUNTIF(C16:G16,"&lt;&gt;"))</x:f>
      </x:c>
      <x:c r="I16" s="33" t="str">
        <x:f>IF(A16="","","NOT_STARTED")</x:f>
      </x:c>
      <x:c r="J16" s="33" t="str">
        <x:f>IF(A16="","","NOT_STARTED")</x:f>
      </x:c>
      <x:c r="K16" s="33" t="str">
        <x:f>IF(A16="","","NOT_STARTED")</x:f>
      </x:c>
      <x:c r="L16" s="33"/>
      <x:c r="M16" s="33"/>
      <x:c r="N16" s="33"/>
    </x:row>
    <x:row r="17" ht="15" hidden="0" customHeight="1">
      <x:c r="A17" s="33" t="str">
        <x:f>IF('01_Qualified Pool'!B17="","",'01_Qualified Pool'!B17)</x:f>
      </x:c>
      <x:c r="B17" s="33" t="str">
        <x:f>IF(A17="","",'01_Qualified Pool'!N17)</x:f>
      </x:c>
      <x:c r="C17" s="33"/>
      <x:c r="D17" s="33"/>
      <x:c r="E17" s="33"/>
      <x:c r="F17" s="33"/>
      <x:c r="G17" s="33"/>
      <x:c r="H17" s="33" t="str">
        <x:f>IF(A17="","",COUNTIF(C17:G17,"&lt;&gt;"))</x:f>
      </x:c>
      <x:c r="I17" s="33" t="str">
        <x:f>IF(A17="","","NOT_STARTED")</x:f>
      </x:c>
      <x:c r="J17" s="33" t="str">
        <x:f>IF(A17="","","NOT_STARTED")</x:f>
      </x:c>
      <x:c r="K17" s="33" t="str">
        <x:f>IF(A17="","","NOT_STARTED")</x:f>
      </x:c>
      <x:c r="L17" s="33"/>
      <x:c r="M17" s="33"/>
      <x:c r="N17" s="33"/>
    </x:row>
    <x:row r="18" ht="15" hidden="0" customHeight="1">
      <x:c r="A18" s="33" t="str">
        <x:f>IF('01_Qualified Pool'!B18="","",'01_Qualified Pool'!B18)</x:f>
      </x:c>
      <x:c r="B18" s="33" t="str">
        <x:f>IF(A18="","",'01_Qualified Pool'!N18)</x:f>
      </x:c>
      <x:c r="C18" s="33"/>
      <x:c r="D18" s="33"/>
      <x:c r="E18" s="33"/>
      <x:c r="F18" s="33"/>
      <x:c r="G18" s="33"/>
      <x:c r="H18" s="33" t="str">
        <x:f>IF(A18="","",COUNTIF(C18:G18,"&lt;&gt;"))</x:f>
      </x:c>
      <x:c r="I18" s="33" t="str">
        <x:f>IF(A18="","","NOT_STARTED")</x:f>
      </x:c>
      <x:c r="J18" s="33" t="str">
        <x:f>IF(A18="","","NOT_STARTED")</x:f>
      </x:c>
      <x:c r="K18" s="33" t="str">
        <x:f>IF(A18="","","NOT_STARTED")</x:f>
      </x:c>
      <x:c r="L18" s="33"/>
      <x:c r="M18" s="33"/>
      <x:c r="N18" s="33"/>
    </x:row>
    <x:row r="19" ht="15" hidden="0" customHeight="1">
      <x:c r="A19" s="33" t="str">
        <x:f>IF('01_Qualified Pool'!B19="","",'01_Qualified Pool'!B19)</x:f>
      </x:c>
      <x:c r="B19" s="33" t="str">
        <x:f>IF(A19="","",'01_Qualified Pool'!N19)</x:f>
      </x:c>
      <x:c r="C19" s="33"/>
      <x:c r="D19" s="33"/>
      <x:c r="E19" s="33"/>
      <x:c r="F19" s="33"/>
      <x:c r="G19" s="33"/>
      <x:c r="H19" s="33" t="str">
        <x:f>IF(A19="","",COUNTIF(C19:G19,"&lt;&gt;"))</x:f>
      </x:c>
      <x:c r="I19" s="33" t="str">
        <x:f>IF(A19="","","NOT_STARTED")</x:f>
      </x:c>
      <x:c r="J19" s="33" t="str">
        <x:f>IF(A19="","","NOT_STARTED")</x:f>
      </x:c>
      <x:c r="K19" s="33" t="str">
        <x:f>IF(A19="","","NOT_STARTED")</x:f>
      </x:c>
      <x:c r="L19" s="33"/>
      <x:c r="M19" s="33"/>
      <x:c r="N19" s="33"/>
    </x:row>
    <x:row r="20" ht="15" hidden="0" customHeight="1">
      <x:c r="A20" s="33" t="str">
        <x:f>IF('01_Qualified Pool'!B20="","",'01_Qualified Pool'!B20)</x:f>
      </x:c>
      <x:c r="B20" s="33" t="str">
        <x:f>IF(A20="","",'01_Qualified Pool'!N20)</x:f>
      </x:c>
      <x:c r="C20" s="33"/>
      <x:c r="D20" s="33"/>
      <x:c r="E20" s="33"/>
      <x:c r="F20" s="33"/>
      <x:c r="G20" s="33"/>
      <x:c r="H20" s="33" t="str">
        <x:f>IF(A20="","",COUNTIF(C20:G20,"&lt;&gt;"))</x:f>
      </x:c>
      <x:c r="I20" s="33" t="str">
        <x:f>IF(A20="","","NOT_STARTED")</x:f>
      </x:c>
      <x:c r="J20" s="33" t="str">
        <x:f>IF(A20="","","NOT_STARTED")</x:f>
      </x:c>
      <x:c r="K20" s="33" t="str">
        <x:f>IF(A20="","","NOT_STARTED")</x:f>
      </x:c>
      <x:c r="L20" s="33"/>
      <x:c r="M20" s="33"/>
      <x:c r="N20" s="33"/>
    </x:row>
    <x:row r="21" ht="24" hidden="0" customHeight="1">
      <x:c r="A21" s="33" t="str">
        <x:f>IF('01_Qualified Pool'!B21="","",'01_Qualified Pool'!B21)</x:f>
      </x:c>
      <x:c r="B21" s="33" t="str">
        <x:f>IF(A21="","",'01_Qualified Pool'!N21)</x:f>
      </x:c>
      <x:c r="C21" s="33"/>
      <x:c r="D21" s="33"/>
      <x:c r="E21" s="33"/>
      <x:c r="F21" s="33"/>
      <x:c r="G21" s="33"/>
      <x:c r="H21" s="33" t="str">
        <x:f>IF(A21="","",COUNTIF(C21:G21,"&lt;&gt;"))</x:f>
      </x:c>
      <x:c r="I21" s="33" t="str">
        <x:f>IF(A21="","","NOT_STARTED")</x:f>
      </x:c>
      <x:c r="J21" s="33" t="str">
        <x:f>IF(A21="","","NOT_STARTED")</x:f>
      </x:c>
      <x:c r="K21" s="33" t="str">
        <x:f>IF(A21="","","NOT_STARTED")</x:f>
      </x:c>
      <x:c r="L21" s="33"/>
      <x:c r="M21" s="33"/>
      <x:c r="N21" s="33"/>
    </x:row>
    <x:row r="22" ht="15" hidden="0" customHeight="1">
      <x:c r="A22" s="33" t="str">
        <x:f>IF('01_Qualified Pool'!B22="","",'01_Qualified Pool'!B22)</x:f>
      </x:c>
      <x:c r="B22" s="33" t="str">
        <x:f>IF(A22="","",'01_Qualified Pool'!N22)</x:f>
      </x:c>
      <x:c r="C22" s="33"/>
      <x:c r="D22" s="33"/>
      <x:c r="E22" s="33"/>
      <x:c r="F22" s="33"/>
      <x:c r="G22" s="33"/>
      <x:c r="H22" s="33" t="str">
        <x:f>IF(A22="","",COUNTIF(C22:G22,"&lt;&gt;"))</x:f>
      </x:c>
      <x:c r="I22" s="33" t="str">
        <x:f>IF(A22="","","NOT_STARTED")</x:f>
      </x:c>
      <x:c r="J22" s="33" t="str">
        <x:f>IF(A22="","","NOT_STARTED")</x:f>
      </x:c>
      <x:c r="K22" s="33" t="str">
        <x:f>IF(A22="","","NOT_STARTED")</x:f>
      </x:c>
      <x:c r="L22" s="33"/>
      <x:c r="M22" s="33"/>
      <x:c r="N22" s="33"/>
    </x:row>
    <x:row r="23" ht="15" hidden="0" customHeight="1">
      <x:c r="A23" s="33" t="str">
        <x:f>IF('01_Qualified Pool'!B23="","",'01_Qualified Pool'!B23)</x:f>
      </x:c>
      <x:c r="B23" s="33" t="str">
        <x:f>IF(A23="","",'01_Qualified Pool'!N23)</x:f>
      </x:c>
      <x:c r="C23" s="33"/>
      <x:c r="D23" s="33"/>
      <x:c r="E23" s="33"/>
      <x:c r="F23" s="33"/>
      <x:c r="G23" s="33"/>
      <x:c r="H23" s="33" t="str">
        <x:f>IF(A23="","",COUNTIF(C23:G23,"&lt;&gt;"))</x:f>
      </x:c>
      <x:c r="I23" s="33" t="str">
        <x:f>IF(A23="","","NOT_STARTED")</x:f>
      </x:c>
      <x:c r="J23" s="33" t="str">
        <x:f>IF(A23="","","NOT_STARTED")</x:f>
      </x:c>
      <x:c r="K23" s="33" t="str">
        <x:f>IF(A23="","","NOT_STARTED")</x:f>
      </x:c>
      <x:c r="L23" s="33"/>
      <x:c r="M23" s="33"/>
      <x:c r="N23" s="33"/>
    </x:row>
    <x:row r="24" ht="15" hidden="0" customHeight="1">
      <x:c r="A24" s="33" t="str">
        <x:f>IF('01_Qualified Pool'!B24="","",'01_Qualified Pool'!B24)</x:f>
      </x:c>
      <x:c r="B24" s="33" t="str">
        <x:f>IF(A24="","",'01_Qualified Pool'!N24)</x:f>
      </x:c>
      <x:c r="C24" s="33"/>
      <x:c r="D24" s="33"/>
      <x:c r="E24" s="33"/>
      <x:c r="F24" s="33"/>
      <x:c r="G24" s="33"/>
      <x:c r="H24" s="33" t="str">
        <x:f>IF(A24="","",COUNTIF(C24:G24,"&lt;&gt;"))</x:f>
      </x:c>
      <x:c r="I24" s="33" t="str">
        <x:f>IF(A24="","","NOT_STARTED")</x:f>
      </x:c>
      <x:c r="J24" s="33" t="str">
        <x:f>IF(A24="","","NOT_STARTED")</x:f>
      </x:c>
      <x:c r="K24" s="33" t="str">
        <x:f>IF(A24="","","NOT_STARTED")</x:f>
      </x:c>
      <x:c r="L24" s="33"/>
      <x:c r="M24" s="33"/>
      <x:c r="N24" s="33"/>
    </x:row>
    <x:row r="25" ht="15" hidden="0" customHeight="1">
      <x:c r="A25" s="33" t="str">
        <x:f>IF('01_Qualified Pool'!B25="","",'01_Qualified Pool'!B25)</x:f>
      </x:c>
      <x:c r="B25" s="33" t="str">
        <x:f>IF(A25="","",'01_Qualified Pool'!N25)</x:f>
      </x:c>
      <x:c r="C25" s="33"/>
      <x:c r="D25" s="33"/>
      <x:c r="E25" s="33"/>
      <x:c r="F25" s="33"/>
      <x:c r="G25" s="33"/>
      <x:c r="H25" s="33" t="str">
        <x:f>IF(A25="","",COUNTIF(C25:G25,"&lt;&gt;"))</x:f>
      </x:c>
      <x:c r="I25" s="33" t="str">
        <x:f>IF(A25="","","NOT_STARTED")</x:f>
      </x:c>
      <x:c r="J25" s="33" t="str">
        <x:f>IF(A25="","","NOT_STARTED")</x:f>
      </x:c>
      <x:c r="K25" s="33" t="str">
        <x:f>IF(A25="","","NOT_STARTED")</x:f>
      </x:c>
      <x:c r="L25" s="33"/>
      <x:c r="M25" s="33"/>
      <x:c r="N25" s="33"/>
    </x:row>
    <x:row r="26" ht="15" hidden="0" customHeight="1">
      <x:c r="A26" s="33" t="str">
        <x:f>IF('01_Qualified Pool'!B26="","",'01_Qualified Pool'!B26)</x:f>
      </x:c>
      <x:c r="B26" s="33" t="str">
        <x:f>IF(A26="","",'01_Qualified Pool'!N26)</x:f>
      </x:c>
      <x:c r="C26" s="33"/>
      <x:c r="D26" s="33"/>
      <x:c r="E26" s="33"/>
      <x:c r="F26" s="33"/>
      <x:c r="G26" s="33"/>
      <x:c r="H26" s="33" t="str">
        <x:f>IF(A26="","",COUNTIF(C26:G26,"&lt;&gt;"))</x:f>
      </x:c>
      <x:c r="I26" s="33" t="str">
        <x:f>IF(A26="","","NOT_STARTED")</x:f>
      </x:c>
      <x:c r="J26" s="33" t="str">
        <x:f>IF(A26="","","NOT_STARTED")</x:f>
      </x:c>
      <x:c r="K26" s="33" t="str">
        <x:f>IF(A26="","","NOT_STARTED")</x:f>
      </x:c>
      <x:c r="L26" s="33"/>
      <x:c r="M26" s="33"/>
      <x:c r="N26" s="33"/>
    </x:row>
    <x:row r="27" ht="15" hidden="0" customHeight="1">
      <x:c r="A27" s="33" t="str">
        <x:f>IF('01_Qualified Pool'!B27="","",'01_Qualified Pool'!B27)</x:f>
      </x:c>
      <x:c r="B27" s="33" t="str">
        <x:f>IF(A27="","",'01_Qualified Pool'!N27)</x:f>
      </x:c>
      <x:c r="C27" s="33"/>
      <x:c r="D27" s="33"/>
      <x:c r="E27" s="33"/>
      <x:c r="F27" s="33"/>
      <x:c r="G27" s="33"/>
      <x:c r="H27" s="33" t="str">
        <x:f>IF(A27="","",COUNTIF(C27:G27,"&lt;&gt;"))</x:f>
      </x:c>
      <x:c r="I27" s="33" t="str">
        <x:f>IF(A27="","","NOT_STARTED")</x:f>
      </x:c>
      <x:c r="J27" s="33" t="str">
        <x:f>IF(A27="","","NOT_STARTED")</x:f>
      </x:c>
      <x:c r="K27" s="33" t="str">
        <x:f>IF(A27="","","NOT_STARTED")</x:f>
      </x:c>
      <x:c r="L27" s="33"/>
      <x:c r="M27" s="33"/>
      <x:c r="N27" s="33"/>
    </x:row>
    <x:row r="28" ht="15" hidden="0" customHeight="1">
      <x:c r="A28" s="33" t="str">
        <x:f>IF('01_Qualified Pool'!B28="","",'01_Qualified Pool'!B28)</x:f>
      </x:c>
      <x:c r="B28" s="33" t="str">
        <x:f>IF(A28="","",'01_Qualified Pool'!N28)</x:f>
      </x:c>
      <x:c r="C28" s="33"/>
      <x:c r="D28" s="33"/>
      <x:c r="E28" s="33"/>
      <x:c r="F28" s="33"/>
      <x:c r="G28" s="33"/>
      <x:c r="H28" s="33" t="str">
        <x:f>IF(A28="","",COUNTIF(C28:G28,"&lt;&gt;"))</x:f>
      </x:c>
      <x:c r="I28" s="33" t="str">
        <x:f>IF(A28="","","NOT_STARTED")</x:f>
      </x:c>
      <x:c r="J28" s="33" t="str">
        <x:f>IF(A28="","","NOT_STARTED")</x:f>
      </x:c>
      <x:c r="K28" s="33" t="str">
        <x:f>IF(A28="","","NOT_STARTED")</x:f>
      </x:c>
      <x:c r="L28" s="33"/>
      <x:c r="M28" s="33"/>
      <x:c r="N28" s="33"/>
    </x:row>
    <x:row r="29" ht="15" hidden="0" customHeight="1">
      <x:c r="A29" s="33" t="str">
        <x:f>IF('01_Qualified Pool'!B29="","",'01_Qualified Pool'!B29)</x:f>
      </x:c>
      <x:c r="B29" s="33" t="str">
        <x:f>IF(A29="","",'01_Qualified Pool'!N29)</x:f>
      </x:c>
      <x:c r="C29" s="33"/>
      <x:c r="D29" s="33"/>
      <x:c r="E29" s="33"/>
      <x:c r="F29" s="33"/>
      <x:c r="G29" s="33"/>
      <x:c r="H29" s="33" t="str">
        <x:f>IF(A29="","",COUNTIF(C29:G29,"&lt;&gt;"))</x:f>
      </x:c>
      <x:c r="I29" s="33" t="str">
        <x:f>IF(A29="","","NOT_STARTED")</x:f>
      </x:c>
      <x:c r="J29" s="33" t="str">
        <x:f>IF(A29="","","NOT_STARTED")</x:f>
      </x:c>
      <x:c r="K29" s="33" t="str">
        <x:f>IF(A29="","","NOT_STARTED")</x:f>
      </x:c>
      <x:c r="L29" s="33"/>
      <x:c r="M29" s="33"/>
      <x:c r="N29" s="33"/>
    </x:row>
    <x:row r="30" ht="15" hidden="0" customHeight="1">
      <x:c r="A30" s="33" t="str">
        <x:f>IF('01_Qualified Pool'!B30="","",'01_Qualified Pool'!B30)</x:f>
      </x:c>
      <x:c r="B30" s="33" t="str">
        <x:f>IF(A30="","",'01_Qualified Pool'!N30)</x:f>
      </x:c>
      <x:c r="C30" s="33"/>
      <x:c r="D30" s="33"/>
      <x:c r="E30" s="33"/>
      <x:c r="F30" s="33"/>
      <x:c r="G30" s="33"/>
      <x:c r="H30" s="33" t="str">
        <x:f>IF(A30="","",COUNTIF(C30:G30,"&lt;&gt;"))</x:f>
      </x:c>
      <x:c r="I30" s="33" t="str">
        <x:f>IF(A30="","","NOT_STARTED")</x:f>
      </x:c>
      <x:c r="J30" s="33" t="str">
        <x:f>IF(A30="","","NOT_STARTED")</x:f>
      </x:c>
      <x:c r="K30" s="33" t="str">
        <x:f>IF(A30="","","NOT_STARTED")</x:f>
      </x:c>
      <x:c r="L30" s="33"/>
      <x:c r="M30" s="33"/>
      <x:c r="N30" s="33"/>
    </x:row>
    <x:row r="31" ht="15" hidden="0" customHeight="1">
      <x:c r="A31" s="33" t="str">
        <x:f>IF('01_Qualified Pool'!B31="","",'01_Qualified Pool'!B31)</x:f>
      </x:c>
      <x:c r="B31" s="33" t="str">
        <x:f>IF(A31="","",'01_Qualified Pool'!N31)</x:f>
      </x:c>
      <x:c r="C31" s="33"/>
      <x:c r="D31" s="33"/>
      <x:c r="E31" s="33"/>
      <x:c r="F31" s="33"/>
      <x:c r="G31" s="33"/>
      <x:c r="H31" s="33" t="str">
        <x:f>IF(A31="","",COUNTIF(C31:G31,"&lt;&gt;"))</x:f>
      </x:c>
      <x:c r="I31" s="33" t="str">
        <x:f>IF(A31="","","NOT_STARTED")</x:f>
      </x:c>
      <x:c r="J31" s="33" t="str">
        <x:f>IF(A31="","","NOT_STARTED")</x:f>
      </x:c>
      <x:c r="K31" s="33" t="str">
        <x:f>IF(A31="","","NOT_STARTED")</x:f>
      </x:c>
      <x:c r="L31" s="33"/>
      <x:c r="M31" s="33"/>
      <x:c r="N31" s="33"/>
    </x:row>
    <x:row r="32" ht="15" hidden="0" customHeight="1">
      <x:c r="A32" s="33" t="str">
        <x:f>IF('01_Qualified Pool'!B32="","",'01_Qualified Pool'!B32)</x:f>
      </x:c>
      <x:c r="B32" s="33" t="str">
        <x:f>IF(A32="","",'01_Qualified Pool'!N32)</x:f>
      </x:c>
      <x:c r="C32" s="33"/>
      <x:c r="D32" s="33"/>
      <x:c r="E32" s="33"/>
      <x:c r="F32" s="33"/>
      <x:c r="G32" s="33"/>
      <x:c r="H32" s="33" t="str">
        <x:f>IF(A32="","",COUNTIF(C32:G32,"&lt;&gt;"))</x:f>
      </x:c>
      <x:c r="I32" s="33" t="str">
        <x:f>IF(A32="","","NOT_STARTED")</x:f>
      </x:c>
      <x:c r="J32" s="33" t="str">
        <x:f>IF(A32="","","NOT_STARTED")</x:f>
      </x:c>
      <x:c r="K32" s="33" t="str">
        <x:f>IF(A32="","","NOT_STARTED")</x:f>
      </x:c>
      <x:c r="L32" s="33"/>
      <x:c r="M32" s="33"/>
      <x:c r="N32" s="33"/>
    </x:row>
    <x:row r="33" ht="24" hidden="0" customHeight="1">
      <x:c r="A33" s="33" t="str">
        <x:f>IF('01_Qualified Pool'!B33="","",'01_Qualified Pool'!B33)</x:f>
      </x:c>
      <x:c r="B33" s="33" t="str">
        <x:f>IF(A33="","",'01_Qualified Pool'!N33)</x:f>
      </x:c>
      <x:c r="C33" s="33"/>
      <x:c r="D33" s="33"/>
      <x:c r="E33" s="33"/>
      <x:c r="F33" s="33"/>
      <x:c r="G33" s="33"/>
      <x:c r="H33" s="33" t="str">
        <x:f>IF(A33="","",COUNTIF(C33:G33,"&lt;&gt;"))</x:f>
      </x:c>
      <x:c r="I33" s="33" t="str">
        <x:f>IF(A33="","","NOT_STARTED")</x:f>
      </x:c>
      <x:c r="J33" s="33" t="str">
        <x:f>IF(A33="","","NOT_STARTED")</x:f>
      </x:c>
      <x:c r="K33" s="33" t="str">
        <x:f>IF(A33="","","NOT_STARTED")</x:f>
      </x:c>
      <x:c r="L33" s="33"/>
      <x:c r="M33" s="33"/>
      <x:c r="N33" s="33"/>
    </x:row>
    <x:row r="34" ht="15" hidden="0" customHeight="1">
      <x:c r="A34" s="33" t="str">
        <x:f>IF('01_Qualified Pool'!B34="","",'01_Qualified Pool'!B34)</x:f>
      </x:c>
      <x:c r="B34" s="33" t="str">
        <x:f>IF(A34="","",'01_Qualified Pool'!N34)</x:f>
      </x:c>
      <x:c r="C34" s="33"/>
      <x:c r="D34" s="33"/>
      <x:c r="E34" s="33"/>
      <x:c r="F34" s="33"/>
      <x:c r="G34" s="33"/>
      <x:c r="H34" s="33" t="str">
        <x:f>IF(A34="","",COUNTIF(C34:G34,"&lt;&gt;"))</x:f>
      </x:c>
      <x:c r="I34" s="33" t="str">
        <x:f>IF(A34="","","NOT_STARTED")</x:f>
      </x:c>
      <x:c r="J34" s="33" t="str">
        <x:f>IF(A34="","","NOT_STARTED")</x:f>
      </x:c>
      <x:c r="K34" s="33" t="str">
        <x:f>IF(A34="","","NOT_STARTED")</x:f>
      </x:c>
      <x:c r="L34" s="33"/>
      <x:c r="M34" s="33"/>
      <x:c r="N34" s="33"/>
    </x:row>
  </x:sheetData>
  <x:mergeCells>
    <x:mergeCell ref="A1:N1"/>
    <x:mergeCell ref="A3:N3"/>
  </x:mergeCells>
  <x:conditionalFormatting sqref="H5:H34">
    <x:cfRule type="dataBar" priority="1">
      <x:dataBar>
        <x:cfvo type="min"/>
        <x:cfvo type="max"/>
        <x:color rgb="FF198754"/>
      </x:dataBar>
      <x:extLst>
        <x:ext xmlns:x14="http://schemas.microsoft.com/office/spreadsheetml/2009/9/main" uri="{B025F937-C7B1-47D3-B67F-A62EFF666E3E}">
          <x14:id>{36E5F8E6-6740-D8F9-BF51-B803ED8E251A}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23ad6f7790d47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E5F8E6-6740-D8F9-BF51-B803ED8E251A}">
            <x14:dataBar gradient="1">
              <x14:cfvo type="min"/>
              <x14:cfvo type="max"/>
              <x14:fillColor rgb="FF198754"/>
            </x14:dataBar>
          </x14:cfRule>
          <xm:sqref>H5:H34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0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15" hidden="0" customHeight="1">
      <x:c r="A1" s="38" t="str">
        <x:v>Rejected / Mismatch｜保留失敗證據，禁止回流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15" hidden="0" customHeight="1">
      <x:c r="A3" s="35" t="str">
        <x:v>V14錯誤：聯絡資訊較完整的人被誤當高價值人選。V15把教授、經理、負責人、薪資明顯錯配與同名誤認分開淘汰。</x:v>
      </x:c>
      <x:c r="B3" s="35"/>
      <x:c r="C3" s="35"/>
      <x:c r="D3" s="35"/>
      <x:c r="E3" s="35"/>
      <x:c r="F3" s="35"/>
    </x:row>
    <x:row r="4" ht="34" hidden="0" customHeight="1">
      <x:c r="A4" s="39" t="str">
        <x:v>姓名/線索</x:v>
      </x:c>
      <x:c r="B4" s="39" t="str">
        <x:v>角色</x:v>
      </x:c>
      <x:c r="C4" s="39" t="str">
        <x:v>淘汰原因</x:v>
      </x:c>
      <x:c r="D4" s="39" t="str">
        <x:v>狀態</x:v>
      </x:c>
      <x:c r="E4" s="39" t="str">
        <x:v>是否有聯絡資訊</x:v>
      </x:c>
      <x:c r="F4" s="39" t="str">
        <x:v>規則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3"/>
      <x:c r="B12" s="33"/>
      <x:c r="C12" s="33"/>
      <x:c r="D12" s="33"/>
      <x:c r="E12" s="33"/>
      <x:c r="F12" s="33"/>
    </x:row>
    <x:row r="13" ht="15" hidden="0" customHeight="1">
      <x:c r="A13" s="33"/>
      <x:c r="B13" s="33"/>
      <x:c r="C13" s="33"/>
      <x:c r="D13" s="33"/>
      <x:c r="E13" s="33"/>
      <x:c r="F13" s="33"/>
    </x:row>
    <x:row r="14" ht="15" hidden="0" customHeight="1">
      <x:c r="A14" s="33"/>
      <x:c r="B14" s="33"/>
      <x:c r="C14" s="33"/>
      <x:c r="D14" s="33"/>
      <x:c r="E14" s="33"/>
      <x:c r="F14" s="33"/>
    </x:row>
    <x:row r="15" ht="15" hidden="0" customHeight="1">
      <x:c r="A15" s="33"/>
      <x:c r="B15" s="33"/>
      <x:c r="C15" s="33"/>
      <x:c r="D15" s="33"/>
      <x:c r="E15" s="33"/>
      <x:c r="F15" s="33"/>
    </x:row>
    <x:row r="16" ht="15" hidden="0" customHeight="1">
      <x:c r="A16" s="33"/>
      <x:c r="B16" s="33"/>
      <x:c r="C16" s="33"/>
      <x:c r="D16" s="33"/>
      <x:c r="E16" s="33"/>
      <x:c r="F16" s="33"/>
    </x:row>
    <x:row r="17" ht="15" hidden="0" customHeight="1">
      <x:c r="A17" s="33"/>
      <x:c r="B17" s="33"/>
      <x:c r="C17" s="33"/>
      <x:c r="D17" s="33"/>
      <x:c r="E17" s="33"/>
      <x:c r="F17" s="33"/>
    </x:row>
    <x:row r="18" ht="15" hidden="0" customHeight="1">
      <x:c r="A18" s="33"/>
      <x:c r="B18" s="33"/>
      <x:c r="C18" s="33"/>
      <x:c r="D18" s="33"/>
      <x:c r="E18" s="33"/>
      <x:c r="F18" s="33"/>
    </x:row>
  </x:sheetData>
  <x:mergeCells>
    <x:mergeCell ref="A1:F1"/>
    <x:mergeCell ref="A3:F3"/>
  </x:mergeCells>
  <x:pageMargins left="0.7" right="0.7" top="0.75" bottom="0.75" header="0.3" footer="0.3"/>
  <x:tableParts count="1">
    <x:tablePart xmlns:r="http://schemas.openxmlformats.org/officeDocument/2006/relationships" r:id="R98eead47504744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48" hidden="0" customWidth="1"/>
    <x:col min="5" max="5" width="40" hidden="0" customWidth="1"/>
    <x:col min="6" max="6" width="55" hidden="0" customWidth="1"/>
    <x:col min="7" max="7" width="55" hidden="0" customWidth="1"/>
    <x:col min="8" max="8" width="16" hidden="0" customWidth="1"/>
  </x:cols>
  <x:sheetData>
    <x:row r="1" ht="15" hidden="0" customHeight="1">
      <x:c r="A1" s="38" t="str">
        <x:v>Run Log｜實測細節與判斷紀錄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日期</x:v>
      </x:c>
      <x:c r="B3" s="39" t="str">
        <x:v>版本</x:v>
      </x:c>
      <x:c r="C3" s="39" t="str">
        <x:v>階段</x:v>
      </x:c>
      <x:c r="D3" s="39" t="str">
        <x:v>輸入/查詢</x:v>
      </x:c>
      <x:c r="E3" s="39" t="str">
        <x:v>輸出</x:v>
      </x:c>
      <x:c r="F3" s="39" t="str">
        <x:v>問題</x:v>
      </x:c>
      <x:c r="G3" s="39" t="str">
        <x:v>決策</x:v>
      </x:c>
      <x:c r="H3" s="39" t="str">
        <x:v>狀態</x:v>
      </x:c>
    </x:row>
    <x:row r="4" ht="15" hidden="0" customHeight="1">
      <x:c r="A4" s="33"/>
      <x:c r="B4" s="33" t="str">
        <x:v>NEW_RUN</x:v>
      </x:c>
      <x:c r="C4" s="33" t="str">
        <x:v>Start</x:v>
      </x:c>
      <x:c r="D4" s="33" t="str">
        <x:v>貼入JD或JD URL</x:v>
      </x:c>
      <x:c r="E4" s="33" t="str">
        <x:v>等待Job Route</x:v>
      </x:c>
      <x:c r="F4" s="33" t="str">
        <x:v>尚未分配Primary Ecosystem</x:v>
      </x:c>
      <x:c r="G4" s="33" t="str">
        <x:v>先完成Talent DNA與Router</x:v>
      </x:c>
      <x:c r="H4" s="33" t="str">
        <x:v>NOT_STARTED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4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81edf8ba2404d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62" hidden="0" customWidth="1"/>
    <x:col min="4" max="4" width="52" hidden="0" customWidth="1"/>
  </x:cols>
  <x:sheetData>
    <x:row r="1" ht="15" hidden="0" customHeight="1">
      <x:c r="A1" s="38" t="str">
        <x:v>Talent DNA｜Reusable JD Gate</x:v>
      </x:c>
      <x:c r="B1" s="38" t="str">
        <x:v>Talent DNA｜Reusable JD Gate</x:v>
      </x:c>
      <x:c r="C1" s="38" t="str">
        <x:v>Talent DNA｜Reusable JD Gate</x:v>
      </x:c>
      <x:c r="D1" s="38" t="str">
        <x:v>Talent DNA｜Reusable JD Gate</x:v>
      </x:c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層級</x:v>
      </x:c>
      <x:c r="B3" s="39" t="str">
        <x:v>條件</x:v>
      </x:c>
      <x:c r="C3" s="39" t="str">
        <x:v>Gate規則</x:v>
      </x:c>
      <x:c r="D3" s="39" t="str">
        <x:v>證據要求</x:v>
      </x:c>
    </x:row>
    <x:row r="4" ht="15" hidden="0" customHeight="1">
      <x:c r="A4" s="33" t="str">
        <x:v>Route</x:v>
      </x:c>
      <x:c r="B4" s="33" t="str">
        <x:v>PRIMARY_ECOSYSTEM</x:v>
      </x:c>
      <x:c r="C4" s="33" t="str">
        <x:v>TO_ASSIGN</x:v>
      </x:c>
      <x:c r="D4" s="33" t="str">
        <x:v>讀取13_Router Matrix後填寫</x:v>
      </x:c>
    </x:row>
    <x:row r="5" ht="15" hidden="0" customHeight="1">
      <x:c r="A5" s="33" t="str">
        <x:v>Route</x:v>
      </x:c>
      <x:c r="B5" s="33" t="str">
        <x:v>SECONDARY_ECOSYSTEM</x:v>
      </x:c>
      <x:c r="C5" s="33" t="str">
        <x:v>NONE_OR_ASSIGN</x:v>
      </x:c>
      <x:c r="D5" s="33" t="str">
        <x:v>能力證據≥30%屬次生態才使用</x:v>
      </x:c>
    </x:row>
    <x:row r="6" ht="15" hidden="0" customHeight="1">
      <x:c r="A6" s="33" t="str">
        <x:v>Hard</x:v>
      </x:c>
      <x:c r="B6" s="33" t="str">
        <x:v>必要技能</x:v>
      </x:c>
      <x:c r="C6" s="33" t="str">
        <x:v>TO_FILL</x:v>
      </x:c>
      <x:c r="D6" s="33" t="str">
        <x:v>JD原文或官方來源</x:v>
      </x:c>
    </x:row>
    <x:row r="7" ht="15" hidden="0" customHeight="1">
      <x:c r="A7" s="33" t="str">
        <x:v>Hard</x:v>
      </x:c>
      <x:c r="B7" s="33" t="str">
        <x:v>職級/年資</x:v>
      </x:c>
      <x:c r="C7" s="33" t="str">
        <x:v>TO_FILL</x:v>
      </x:c>
      <x:c r="D7" s="33" t="str">
        <x:v>Title＋近期職涯證據</x:v>
      </x:c>
    </x:row>
    <x:row r="8" ht="15" hidden="0" customHeight="1">
      <x:c r="A8" s="33" t="str">
        <x:v>Hard</x:v>
      </x:c>
      <x:c r="B8" s="33" t="str">
        <x:v>地點/工作模式</x:v>
      </x:c>
      <x:c r="C8" s="33" t="str">
        <x:v>TO_FILL</x:v>
      </x:c>
      <x:c r="D8" s="33" t="str">
        <x:v>到班、遠端、派駐或搬遷確認</x:v>
      </x:c>
    </x:row>
    <x:row r="9" ht="15" hidden="0" customHeight="1">
      <x:c r="A9" s="33" t="str">
        <x:v>Hard</x:v>
      </x:c>
      <x:c r="B9" s="33" t="str">
        <x:v>學歷/證照/執照</x:v>
      </x:c>
      <x:c r="C9" s="33" t="str">
        <x:v>TO_FILL</x:v>
      </x:c>
      <x:c r="D9" s="33" t="str">
        <x:v>官方或可驗證公開證據</x:v>
      </x:c>
    </x:row>
    <x:row r="10" ht="15" hidden="0" customHeight="1">
      <x:c r="A10" s="33" t="str">
        <x:v>Hard</x:v>
      </x:c>
      <x:c r="B10" s="33" t="str">
        <x:v>語言/工作權</x:v>
      </x:c>
      <x:c r="C10" s="33" t="str">
        <x:v>TO_FILL</x:v>
      </x:c>
      <x:c r="D10" s="33" t="str">
        <x:v>不得從姓名或國籍推定</x:v>
      </x:c>
    </x:row>
    <x:row r="11" ht="15" hidden="0" customHeight="1">
      <x:c r="A11" s="33" t="str">
        <x:v>Hard</x:v>
      </x:c>
      <x:c r="B11" s="33" t="str">
        <x:v>JD特殊條件</x:v>
      </x:c>
      <x:c r="C11" s="33" t="str">
        <x:v>TO_FILL</x:v>
      </x:c>
      <x:c r="D11" s="33" t="str">
        <x:v>駕照、輪班、設備、保密等</x:v>
      </x:c>
    </x:row>
    <x:row r="12" ht="15" hidden="0" customHeight="1">
      <x:c r="A12" s="33" t="str">
        <x:v>Substitute</x:v>
      </x:c>
      <x:c r="B12" s="33" t="str">
        <x:v>可替代條件</x:v>
      </x:c>
      <x:c r="C12" s="33" t="str">
        <x:v>TO_FILL</x:v>
      </x:c>
      <x:c r="D12" s="33" t="str">
        <x:v>相鄰技能、產業、工具與可培訓項</x:v>
      </x:c>
    </x:row>
    <x:row r="13" ht="15" hidden="0" customHeight="1">
      <x:c r="A13" s="33" t="str">
        <x:v>Risk</x:v>
      </x:c>
      <x:c r="B13" s="33" t="str">
        <x:v>薪資/職級錯配</x:v>
      </x:c>
      <x:c r="C13" s="33" t="str">
        <x:v>TO_FILL</x:v>
      </x:c>
      <x:c r="D13" s="33" t="str">
        <x:v>期待薪資與市場層級</x:v>
      </x:c>
    </x:row>
    <x:row r="14">
      <x:c r="A14" t="str">
        <x:v>Exclude</x:v>
      </x:c>
      <x:c r="B14" t="str">
        <x:v>不能接受的條件</x:v>
      </x:c>
      <x:c r="C14" t="str">
        <x:v>TO_FILL</x:v>
      </x:c>
      <x:c r="D14" t="str">
        <x:v>明確列入Qualified Gate</x:v>
      </x:c>
    </x:row>
    <x:row r="15">
      <x:c r="A15" t="str">
        <x:v>Contact</x:v>
      </x:c>
      <x:c r="B15" t="str">
        <x:v>Route-specific Waterfall</x:v>
      </x:c>
      <x:c r="C15" t="str">
        <x:v>TO_FILL</x:v>
      </x:c>
      <x:c r="D15" t="str">
        <x:v>本人Email＞電話＞社群；依路由調整來源</x:v>
      </x:c>
    </x:row>
    <x:row r="16">
      <x:c r="A16" t="str">
        <x:v>Stop</x:v>
      </x:c>
      <x:c r="B16" t="str">
        <x:v>停止/重啟條件</x:v>
      </x:c>
      <x:c r="C16" t="str">
        <x:v>TO_FILL</x:v>
      </x:c>
      <x:c r="D16" t="str">
        <x:v>新公司、作品、活動、帳號或專案錨點</x:v>
      </x:c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1d1a834ef7e4c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8" hidden="0" customWidth="1"/>
    <x:col min="4" max="4" width="16" hidden="0" customWidth="1"/>
    <x:col min="5" max="5" width="22" hidden="0" customWidth="1"/>
    <x:col min="6" max="6" width="32" hidden="0" customWidth="1"/>
    <x:col min="7" max="7" width="48" hidden="0" customWidth="1"/>
    <x:col min="8" max="8" width="48" hidden="0" customWidth="1"/>
  </x:cols>
  <x:sheetData>
    <x:row r="1" ht="15" hidden="0" customHeight="1">
      <x:c r="A1" s="38" t="str">
        <x:v>Source Mix｜本輪配額稽核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來源類型</x:v>
      </x:c>
      <x:c r="B3" s="39" t="str">
        <x:v>來源</x:v>
      </x:c>
      <x:c r="C3" s="39" t="str">
        <x:v>用途</x:v>
      </x:c>
      <x:c r="D3" s="39" t="str">
        <x:v>發現/驗證人數</x:v>
      </x:c>
      <x:c r="E3" s="39" t="str">
        <x:v>非招募來源?</x:v>
      </x:c>
      <x:c r="F3" s="39" t="str">
        <x:v>本輪價值</x:v>
      </x:c>
      <x:c r="G3" s="39" t="str">
        <x:v>限制</x:v>
      </x:c>
      <x:c r="H3" s="39" t="str">
        <x:v>下一步</x:v>
      </x:c>
    </x:row>
    <x:row r="4" ht="15" hidden="0" customHeight="1">
      <x:c r="A4" s="33" t="str">
        <x:v>START</x:v>
      </x:c>
      <x:c r="B4" s="33" t="str">
        <x:v>TO_FILL</x:v>
      </x:c>
      <x:c r="C4" s="33" t="str">
        <x:v>先建立來源地圖</x:v>
      </x:c>
      <x:c r="D4" s="33" t="n">
        <x:v>0</x:v>
      </x:c>
      <x:c r="E4" s="33" t="str">
        <x:v>TO_AUDIT</x:v>
      </x:c>
      <x:c r="F4" s="33" t="str">
        <x:v>尚未執行</x:v>
      </x:c>
      <x:c r="G4" s="33" t="str">
        <x:v>未達70%前不得宣稱成功</x:v>
      </x:c>
      <x:c r="H4" s="33" t="str">
        <x:v>依Job Route排序八類來源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7067e263cb446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56" hidden="0" customWidth="1"/>
    <x:col min="4" max="4" width="52" hidden="0" customWidth="1"/>
  </x:cols>
  <x:sheetData>
    <x:row r="1" ht="15" hidden="0" customHeight="1">
      <x:c r="A1" s="38" t="str">
        <x:v>Prompt V3.4 Rules｜Archetype Calibration + Qualified-First + Email-ready</x:v>
      </x:c>
      <x:c r="B1" s="38"/>
      <x:c r="C1" s="38"/>
      <x:c r="D1" s="38"/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Rule ID</x:v>
      </x:c>
      <x:c r="B3" s="39" t="str">
        <x:v>規則</x:v>
      </x:c>
      <x:c r="C3" s="39" t="str">
        <x:v>自動化判斷</x:v>
      </x:c>
      <x:c r="D3" s="39" t="str">
        <x:v>失敗防線</x:v>
      </x:c>
    </x:row>
    <x:row r="4" ht="15" hidden="0" customHeight="1">
      <x:c r="A4" s="33" t="str">
        <x:v>P3-01</x:v>
      </x:c>
      <x:c r="B4" s="33" t="str">
        <x:v>不得以聯絡資訊豐富度提升職缺Fit</x:v>
      </x:c>
      <x:c r="C4" s="33" t="str">
        <x:v>Fit Gate先於Contact Enrichment；兩個分數分欄</x:v>
      </x:c>
      <x:c r="D4" s="33" t="str">
        <x:v>Contacts do not rescue fit</x:v>
      </x:c>
    </x:row>
    <x:row r="5" ht="15" hidden="0" customHeight="1">
      <x:c r="A5" s="33" t="str">
        <x:v>P3-02</x:v>
      </x:c>
      <x:c r="B5" s="33" t="str">
        <x:v>只有近期可就業且Hands-on人才進Qualified Pool</x:v>
      </x:c>
      <x:c r="C5" s="33" t="str">
        <x:v>必須有current/recent role＋BIM/Revit evidence</x:v>
      </x:c>
      <x:c r="D5" s="33" t="str">
        <x:v>純學生名冊/舊論文只算Raw Lead</x:v>
      </x:c>
    </x:row>
    <x:row r="6" ht="15" hidden="0" customHeight="1">
      <x:c r="A6" s="33" t="str">
        <x:v>P3-03</x:v>
      </x:c>
      <x:c r="B6" s="33" t="str">
        <x:v>排除教授、負責人、主管與明顯薪資錯配</x:v>
      </x:c>
      <x:c r="C6" s="33" t="str">
        <x:v>Title blacklist＋年資/公司情境風險</x:v>
      </x:c>
      <x:c r="D6" s="33" t="str">
        <x:v>移入Rejected，不刪除證據</x:v>
      </x:c>
    </x:row>
    <x:row r="7" ht="15" hidden="0" customHeight="1">
      <x:c r="A7" s="33" t="str">
        <x:v>P3-04</x:v>
      </x:c>
      <x:c r="B7" s="33" t="str">
        <x:v>外籍/語言/工作權不得推定</x:v>
      </x:c>
      <x:c r="C7" s="33" t="str">
        <x:v>標記CONTACT_AFTER_CONFIRMATION</x:v>
      </x:c>
      <x:c r="D7" s="33" t="str">
        <x:v>先確認中文與合法工作權</x:v>
      </x:c>
    </x:row>
    <x:row r="8" ht="15" hidden="0" customHeight="1">
      <x:c r="A8" s="33" t="str">
        <x:v>P3-05</x:v>
      </x:c>
      <x:c r="B8" s="33" t="str">
        <x:v>Email＞電話＞社群；理想2本人管道</x:v>
      </x:c>
      <x:c r="C8" s="33" t="str">
        <x:v>每種管道同步搜尋但分欄驗證</x:v>
      </x:c>
      <x:c r="D8" s="33" t="str">
        <x:v>公司總機/系辦/推定Email不算本人</x:v>
      </x:c>
    </x:row>
    <x:row r="9" ht="15" hidden="0" customHeight="1">
      <x:c r="A9" s="33" t="str">
        <x:v>P3-06</x:v>
      </x:c>
      <x:c r="B9" s="33" t="str">
        <x:v>Email可深搜多路徑</x:v>
      </x:c>
      <x:c r="C9" s="33" t="str">
        <x:v>公司頁、作品頁、活動、簡報/PDF、協會、個站、GitHub、社群Bio、搜尋X-Ray</x:v>
      </x:c>
      <x:c r="D9" s="33" t="str">
        <x:v>每筆需URL＋身分錨點；禁止猜私人Email</x:v>
      </x:c>
    </x:row>
    <x:row r="10" ht="15" hidden="0" customHeight="1">
      <x:c r="A10" s="33" t="str">
        <x:v>P3-07</x:v>
      </x:c>
      <x:c r="B10" s="33" t="str">
        <x:v>電話只收本人公開專業電話</x:v>
      </x:c>
      <x:c r="C10" s="33" t="str">
        <x:v>同頁姓名/公司/角色錨點；用途合理</x:v>
      </x:c>
      <x:c r="D10" s="33" t="str">
        <x:v>公司總機另列Referral，不算本人</x:v>
      </x:c>
    </x:row>
    <x:row r="11" ht="15" hidden="0" customHeight="1">
      <x:c r="A11" s="33" t="str">
        <x:v>P3-08</x:v>
      </x:c>
      <x:c r="B11" s="33" t="str">
        <x:v>社群需雙錨點</x:v>
      </x:c>
      <x:c r="C11" s="33" t="str">
        <x:v>姓名＋公司/學校/作品至少二項一致</x:v>
      </x:c>
      <x:c r="D11" s="33" t="str">
        <x:v>只有同名即HOLD/FALSE_POSITIVE</x:v>
      </x:c>
    </x:row>
    <x:row r="12" ht="15" hidden="0" customHeight="1">
      <x:c r="A12" s="33" t="str">
        <x:v>P3-09</x:v>
      </x:c>
      <x:c r="B12" s="33" t="str">
        <x:v>來源配額單獨稽核</x:v>
      </x:c>
      <x:c r="C12" s="33" t="str">
        <x:v>至少70%新線索來自非招募來源</x:v>
      </x:c>
      <x:c r="D12" s="33" t="str">
        <x:v>公開LinkedIn僅作驗證時不計主要來源</x:v>
      </x:c>
    </x:row>
    <x:row r="13" ht="15" hidden="0" customHeight="1">
      <x:c r="A13" s="33" t="str">
        <x:v>P3-10</x:v>
      </x:c>
      <x:c r="B13" s="33" t="str">
        <x:v>每輪必須記錄失敗</x:v>
      </x:c>
      <x:c r="C13" s="33" t="str">
        <x:v>查詢、來源、同名誤認、被擋、停止原因寫Run Log</x:v>
      </x:c>
      <x:c r="D13" s="33" t="str">
        <x:v>不得把查無包裝成成功</x:v>
      </x:c>
    </x:row>
    <x:row r="14" ht="15" hidden="0" customHeight="1">
      <x:c r="A14" s="33" t="str">
        <x:v>P3-11</x:v>
      </x:c>
      <x:c r="B14" s="33" t="str">
        <x:v>Client-ready另設Gate</x:v>
      </x:c>
      <x:c r="C14" s="33" t="str">
        <x:v>薪資、地點、駕照、中文、工作權、到職日皆確認</x:v>
      </x:c>
      <x:c r="D14" s="33" t="str">
        <x:v>Qualified Public Evidence不等於可推客戶</x:v>
      </x:c>
    </x:row>
    <x:row r="15" ht="15" hidden="0" customHeight="1">
      <x:c r="A15" s="33" t="str">
        <x:v>P3-12</x:v>
      </x:c>
      <x:c r="B15" s="33" t="str">
        <x:v>量的目標是漏斗而非30人終點</x:v>
      </x:c>
      <x:c r="C15" s="33" t="str">
        <x:v>Raw 100+→Qualified 30+→Contactable 15+→Client-ready 5–10</x:v>
      </x:c>
      <x:c r="D15" s="33" t="str">
        <x:v>不足就擴張來源，不在同一批無限重搜</x:v>
      </x:c>
    </x:row>
    <x:row r="16" ht="15" hidden="0" customHeight="1">
      <x:c r="A16" s="33" t="str">
        <x:v>P3-13</x:v>
      </x:c>
      <x:c r="B16" s="33" t="str">
        <x:v>Qualified後橫向查Cake/GitHub/個站</x:v>
      </x:c>
      <x:c r="C16" s="33" t="str">
        <x:v>Cake公開Profile/Portfolio；GitHub Profile/README；個站About/Contact</x:v>
      </x:c>
      <x:c r="D16" s="33" t="str">
        <x:v>Cake僅輔助不算非招募配額；不得查commit metadata/遮罩資料</x:v>
      </x:c>
    </x:row>
    <x:row r="17" ht="24" hidden="0" customHeight="1">
      <x:c r="A17" s="33" t="str">
        <x:v>P3-14</x:v>
      </x:c>
      <x:c r="B17" s="33" t="str">
        <x:v>橫向查無也逐人留狀態</x:v>
      </x:c>
      <x:c r="C17" s="33" t="str">
        <x:v>FOUND_VERIFIED / SEARCHED_NOT_FOUND / FALSE_POSITIVE_IDENTITY / HUMAN_ACTION_REQUIRED</x:v>
      </x:c>
      <x:c r="D17" s="33" t="str">
        <x:v>同名頁不得寫回Candidate Pool</x:v>
      </x:c>
    </x:row>
    <x:row r="18" ht="15" hidden="0" customHeight="1">
      <x:c r="A18" s="33" t="str">
        <x:v>P3-15</x:v>
      </x:c>
      <x:c r="B18" s="33" t="str">
        <x:v>任何新JD先跑Job Strategy Router</x:v>
      </x:c>
      <x:c r="C18" s="33" t="str">
        <x:v>Primary/Secondary ecosystem＋Overlays＋來源/聯絡/停止規則</x:v>
      </x:c>
      <x:c r="D18" s="33" t="str">
        <x:v>未完成PRIMARY_ECOSYSTEM不得搜尋個人</x:v>
      </x:c>
    </x:row>
    <x:row r="19">
      <x:c r="A19" s="118" t="str">
        <x:v>P3-16</x:v>
      </x:c>
      <x:c r="B19" s="118" t="str">
        <x:v>Fit Potential與Auto-contact Potential分離</x:v>
      </x:c>
      <x:c r="C19" s="118" t="str">
        <x:v>Contact不進Fit Score；但影響來源執行優先度</x:v>
      </x:c>
      <x:c r="D19" s="118" t="str">
        <x:v>避免找到很多人卻無法自動聯繫</x:v>
      </x:c>
    </x:row>
    <x:row r="20">
      <x:c r="A20" s="118" t="str">
        <x:v>P3-17</x:v>
      </x:c>
      <x:c r="B20" s="118" t="str">
        <x:v>Qualified必查公開Cake與LinkedIn聯絡入口</x:v>
      </x:c>
      <x:c r="C20" s="118" t="str">
        <x:v>收公開展示Gmail/工作Email/電話/外連；需身份錨點</x:v>
      </x:c>
      <x:c r="D20" s="118" t="str">
        <x:v>不得存登入後隱藏或同名資料</x:v>
      </x:c>
    </x:row>
    <x:row r="21">
      <x:c r="A21" s="118" t="str">
        <x:v>P3-18</x:v>
      </x:c>
      <x:c r="B21" s="118" t="str">
        <x:v>輸出Email-ready與LinkedIn人工池</x:v>
      </x:c>
      <x:c r="C21" s="118" t="str">
        <x:v>Verified Email才進自動聯繫交接</x:v>
      </x:c>
      <x:c r="D21" s="118" t="str">
        <x:v>公開Profile不等於Email-ready</x:v>
      </x:c>
    </x:row>
    <x:row r="22">
      <x:c r="A22" s="118" t="str">
        <x:v>P3-19</x:v>
      </x:c>
      <x:c r="B22" s="118" t="str">
        <x:v>Email-ready來源輪替</x:v>
      </x:c>
      <x:c r="C22" s="118" t="str">
        <x:v>10位Qualified仍0 Email則降低Contact優先度並換錨點</x:v>
      </x:c>
      <x:c r="D22" s="118" t="str">
        <x:v>不可因此否定Fit-rich來源</x:v>
      </x:c>
    </x:row>
    <x:row r="23">
      <x:c r="A23" s="140" t="str">
        <x:v>P3-20</x:v>
      </x:c>
      <x:c r="B23" s="140" t="str">
        <x:v>JD歧義只補問最多3題</x:v>
      </x:c>
      <x:c r="C23" s="140" t="str">
        <x:v>只問會改變人才生態/來源/排除的缺口</x:v>
      </x:c>
      <x:c r="D23" s="140" t="str">
        <x:v>減少人類輸入仍避免失焦</x:v>
      </x:c>
    </x:row>
    <x:row r="24">
      <x:c r="A24" s="140" t="str">
        <x:v>P3-21</x:v>
      </x:c>
      <x:c r="B24" s="140" t="str">
        <x:v>5人校準先於批量搜尋</x:v>
      </x:c>
      <x:c r="C24" s="140" t="str">
        <x:v>至少4/5 MATCH</x:v>
      </x:c>
      <x:c r="D24" s="140" t="str">
        <x:v>未通過不得Email/電話深查</x:v>
      </x:c>
    </x:row>
    <x:row r="25">
      <x:c r="A25" s="140" t="str">
        <x:v>P3-22</x:v>
      </x:c>
      <x:c r="B25" s="140" t="str">
        <x:v>直播三路由分離</x:v>
      </x:c>
      <x:c r="C25" s="140" t="str">
        <x:v>真人直播/VTuber/遊戲實況不得混流</x:v>
      </x:c>
      <x:c r="D25" s="140" t="str">
        <x:v>廣義職稱不可當最終Route</x:v>
      </x:c>
    </x:row>
    <x:row r="26">
      <x:c r="A26" s="140" t="str">
        <x:v>P3-23</x:v>
      </x:c>
      <x:c r="B26" s="140" t="str">
        <x:v>錯誤路由整批歸零</x:v>
      </x:c>
      <x:c r="C26" s="140" t="str">
        <x:v>保留Audit但不算Candidate Pool</x:v>
      </x:c>
      <x:c r="D26" s="140" t="str">
        <x:v>避免聯絡完整掩蓋Fit失敗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2d9e6ede87844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60" hidden="0" customWidth="1"/>
    <x:col min="5" max="5" width="16" hidden="0" customWidth="1"/>
    <x:col min="6" max="6" width="44" hidden="0" customWidth="1"/>
  </x:cols>
  <x:sheetData>
    <x:row r="1" ht="15" hidden="0" customHeight="1">
      <x:c r="A1" s="38" t="str">
        <x:v>Next Expansion｜回到非招募來源擴張量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優先</x:v>
      </x:c>
      <x:c r="B3" s="39" t="str">
        <x:v>來源入口</x:v>
      </x:c>
      <x:c r="C3" s="39" t="str">
        <x:v>目標量</x:v>
      </x:c>
      <x:c r="D3" s="39" t="str">
        <x:v>抽取方法</x:v>
      </x:c>
      <x:c r="E3" s="39" t="str">
        <x:v>Gate後預估</x:v>
      </x:c>
      <x:c r="F3" s="39" t="str">
        <x:v>目的</x:v>
      </x:c>
    </x:row>
    <x:row r="4" ht="15" hidden="0" customHeight="1">
      <x:c r="A4" s="33" t="n">
        <x:v>1</x:v>
      </x:c>
      <x:c r="B4" s="33" t="str">
        <x:v>TO_FILL</x:v>
      </x:c>
      <x:c r="C4" s="33" t="n">
        <x:v>0</x:v>
      </x:c>
      <x:c r="D4" s="33" t="str">
        <x:v>從高產量公開來源抽名單</x:v>
      </x:c>
      <x:c r="E4" s="33" t="n">
        <x:v>0</x:v>
      </x:c>
      <x:c r="F4" s="33" t="str">
        <x:v>補足Qualified與Contactable漏斗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c01288376a74f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52" hidden="0" customWidth="1"/>
    <x:col min="4" max="4" width="42" hidden="0" customWidth="1"/>
    <x:col min="5" max="5" width="44" hidden="0" customWidth="1"/>
  </x:cols>
  <x:sheetData>
    <x:row r="1" ht="15" hidden="0" customHeight="1">
      <x:c r="A1" s="38" t="str">
        <x:v>Prompt V3.4 LOCKED｜Archetype Calibration + Qualified-First + Email-ready</x:v>
      </x:c>
      <x:c r="B1" s="38"/>
      <x:c r="C1" s="38"/>
      <x:c r="D1" s="38"/>
      <x:c r="E1" s="38"/>
    </x:row>
    <x:row r="2" ht="15" hidden="0" customHeight="1">
      <x:c r="A2" s="33"/>
      <x:c r="B2" s="33"/>
      <x:c r="C2" s="33"/>
      <x:c r="D2" s="33"/>
      <x:c r="E2" s="33"/>
    </x:row>
    <x:row r="3" ht="34" hidden="0" customHeight="1">
      <x:c r="A3" s="39" t="str">
        <x:v>版本</x:v>
      </x:c>
      <x:c r="B3" s="39" t="str">
        <x:v>狀態</x:v>
      </x:c>
      <x:c r="C3" s="39" t="str">
        <x:v>鎖定原因</x:v>
      </x:c>
      <x:c r="D3" s="39" t="str">
        <x:v>完整提示詞檔</x:v>
      </x:c>
      <x:c r="E3" s="39" t="str">
        <x:v>變更規則</x:v>
      </x:c>
    </x:row>
    <x:row r="4" ht="24" hidden="0" customHeight="1">
      <x:c r="A4" s="33" t="str">
        <x:v>V3.4</x:v>
      </x:c>
      <x:c r="B4" s="33" t="str">
        <x:v>LOCKED</x:v>
      </x:c>
      <x:c r="C4" s="33" t="str">
        <x:v>新增JD歧義補問、Archetype Lock、5人校準與直播三路由分流</x:v>
      </x:c>
      <x:c r="D4" s="33" t="str">
        <x:v>full-prompt-v3.4.md + job-route-calibration-v1.md</x:v>
      </x:c>
      <x:c r="E4" s="33" t="str">
        <x:v>未達4/5不得批量搜尋或Contact深查</x:v>
      </x:c>
    </x:row>
    <x:row r="5" ht="15" hidden="0" customHeight="1">
      <x:c r="A5" s="33"/>
      <x:c r="B5" s="33"/>
      <x:c r="C5" s="33"/>
      <x:c r="D5" s="33"/>
      <x:c r="E5" s="33"/>
    </x:row>
    <x:row r="6" ht="34" hidden="0" customHeight="1">
      <x:c r="A6" s="39" t="str">
        <x:v>Rule</x:v>
      </x:c>
      <x:c r="B6" s="39" t="str">
        <x:v>鎖定內容</x:v>
      </x:c>
      <x:c r="C6" s="39" t="str">
        <x:v>自動判斷</x:v>
      </x:c>
      <x:c r="D6" s="39" t="str">
        <x:v>失敗代碼</x:v>
      </x:c>
      <x:c r="E6" s="39" t="str">
        <x:v>人工檢核</x:v>
      </x:c>
    </x:row>
    <x:row r="7" ht="15" hidden="0" customHeight="1">
      <x:c r="A7" s="33" t="str">
        <x:v>L-01</x:v>
      </x:c>
      <x:c r="B7" s="33" t="str">
        <x:v>JD/Talent DNA/Qualified Gate先於Contact Enrichment</x:v>
      </x:c>
      <x:c r="C7" s="33" t="str">
        <x:v>未通過Gate不得跑聯絡深搜</x:v>
      </x:c>
      <x:c r="D7" s="33" t="str">
        <x:v>FAILED_CONTACT_RICH_BUT_JOB_MISMATCH</x:v>
      </x:c>
      <x:c r="E7" s="33" t="str">
        <x:v>使用者已驗證30位方向正確</x:v>
      </x:c>
    </x:row>
    <x:row r="8" ht="15" hidden="0" customHeight="1">
      <x:c r="A8" s="33" t="str">
        <x:v>L-02</x:v>
      </x:c>
      <x:c r="B8" s="33" t="str">
        <x:v>Fit、Recruitability、Contactability分離</x:v>
      </x:c>
      <x:c r="C8" s="33" t="str">
        <x:v>聯絡方式不進Fit Score</x:v>
      </x:c>
      <x:c r="D8" s="33" t="str">
        <x:v>SCORE_CONTAMINATION</x:v>
      </x:c>
      <x:c r="E8" s="33" t="str">
        <x:v>V14失敗案例</x:v>
      </x:c>
    </x:row>
    <x:row r="9" ht="15" hidden="0" customHeight="1">
      <x:c r="A9" s="33" t="str">
        <x:v>L-03</x:v>
      </x:c>
      <x:c r="B9" s="33" t="str">
        <x:v>LinkedIn只作驗證；70%新線索需非招募來源</x:v>
      </x:c>
      <x:c r="C9" s="33" t="str">
        <x:v>每輪Source Mix單獨稽核</x:v>
      </x:c>
      <x:c r="D9" s="33" t="str">
        <x:v>SOURCE_MIX_PARTIAL</x:v>
      </x:c>
      <x:c r="E9" s="33" t="str">
        <x:v>V15尚未達標</x:v>
      </x:c>
    </x:row>
    <x:row r="10" ht="15" hidden="0" customHeight="1">
      <x:c r="A10" s="33" t="str">
        <x:v>L-04</x:v>
      </x:c>
      <x:c r="B10" s="33" t="str">
        <x:v>Email＞電話＞社群；理想2個本人媒介</x:v>
      </x:c>
      <x:c r="C10" s="33" t="str">
        <x:v>公司總機/客服/系辦不算本人</x:v>
      </x:c>
      <x:c r="D10" s="33" t="str">
        <x:v>CONTACT_COVERAGE_GAP</x:v>
      </x:c>
      <x:c r="E10" s="33" t="str">
        <x:v>V16 Email/Phone仍為0</x:v>
      </x:c>
    </x:row>
    <x:row r="11" ht="15" hidden="0" customHeight="1">
      <x:c r="A11" s="33" t="str">
        <x:v>L-05</x:v>
      </x:c>
      <x:c r="B11" s="33" t="str">
        <x:v>姓名＋至少2個一致錨點</x:v>
      </x:c>
      <x:c r="C11" s="33" t="str">
        <x:v>同名衝突移入Hold/Rejected</x:v>
      </x:c>
      <x:c r="D11" s="33" t="str">
        <x:v>UNVERIFIED_SAME_NAME</x:v>
      </x:c>
      <x:c r="E11" s="33" t="str">
        <x:v>已排除多筆錯誤FB/Threads</x:v>
      </x:c>
    </x:row>
    <x:row r="12" ht="15" hidden="0" customHeight="1">
      <x:c r="A12" s="33" t="str">
        <x:v>L-06</x:v>
      </x:c>
      <x:c r="B12" s="33" t="str">
        <x:v>查無也必須留下路徑與停止原因</x:v>
      </x:c>
      <x:c r="C12" s="33" t="str">
        <x:v>完成等價路徑後停止重搜</x:v>
      </x:c>
      <x:c r="D12" s="33" t="str">
        <x:v>CONTACT_NOT_PUBLIC_AFTER_DEEP_SEARCH</x:v>
      </x:c>
      <x:c r="E12" s="33" t="str">
        <x:v>Run Log留存</x:v>
      </x:c>
    </x:row>
    <x:row r="13" ht="15" hidden="0" customHeight="1">
      <x:c r="A13" s="33" t="str">
        <x:v>L-07</x:v>
      </x:c>
      <x:c r="B13" s="33" t="str">
        <x:v>Client-ready另設Gate</x:v>
      </x:c>
      <x:c r="C13" s="33" t="str">
        <x:v>薪資/地點/駕照/中文/工作權/到職日確認</x:v>
      </x:c>
      <x:c r="D13" s="33" t="str">
        <x:v>NOT_CLIENT_READY</x:v>
      </x:c>
      <x:c r="E13" s="33" t="str">
        <x:v>目前30位均未完成全部確認</x:v>
      </x:c>
    </x:row>
    <x:row r="14" ht="15" hidden="0" customHeight="1">
      <x:c r="A14" s="33" t="str">
        <x:v>L-08</x:v>
      </x:c>
      <x:c r="B14" s="33" t="str">
        <x:v>Cake/GitHub/個站只作Qualified後補查</x:v>
      </x:c>
      <x:c r="C14" s="33" t="str">
        <x:v>逐人保留查找狀態與False Positive</x:v>
      </x:c>
      <x:c r="D14" s="33" t="str">
        <x:v>HORIZONTAL_IDENTITY_NOT_VERIFIED</x:v>
      </x:c>
      <x:c r="E14" s="33" t="str">
        <x:v>V17 17人實測驗證頁0</x:v>
      </x:c>
    </x:row>
    <x:row r="15" ht="15" hidden="0" customHeight="1">
      <x:c r="A15" s="33" t="str">
        <x:v>L-09</x:v>
      </x:c>
      <x:c r="B15" s="33" t="str">
        <x:v>新JD必須先指定Primary Ecosystem</x:v>
      </x:c>
      <x:c r="C15" s="33" t="str">
        <x:v>依職缺重新排序來源與Contact Waterfall</x:v>
      </x:c>
      <x:c r="D15" s="33" t="str">
        <x:v>ROUTE_NOT_ASSIGNED</x:v>
      </x:c>
      <x:c r="E15" s="33" t="str">
        <x:v>V18五個JD已通過路由測試</x:v>
      </x:c>
    </x:row>
    <x:row r="16">
      <x:c r="A16" s="118" t="str">
        <x:v>L-10</x:v>
      </x:c>
      <x:c r="B16" s="118" t="str">
        <x:v>Contact可影響來源優先度，不可影響Fit</x:v>
      </x:c>
      <x:c r="C16" s="118" t="str">
        <x:v>雙分數分欄</x:v>
      </x:c>
      <x:c r="D16" s="118" t="str">
        <x:v>SCORE_CONTAMINATION</x:v>
      </x:c>
      <x:c r="E16" s="118" t="str">
        <x:v>V21 Email-ready Layer</x:v>
      </x:c>
    </x:row>
    <x:row r="17">
      <x:c r="A17" s="118" t="str">
        <x:v>L-11</x:v>
      </x:c>
      <x:c r="B17" s="118" t="str">
        <x:v>Qualified必查公開Cake與LinkedIn</x:v>
      </x:c>
      <x:c r="C17" s="118" t="str">
        <x:v>逐人保留FOUND/NOT_FOUND/CONFLICT</x:v>
      </x:c>
      <x:c r="D17" s="118" t="str">
        <x:v>CONTACT_PATH_INCOMPLETE</x:v>
      </x:c>
      <x:c r="E17" s="118" t="str">
        <x:v>僅限公開欄位</x:v>
      </x:c>
    </x:row>
    <x:row r="18">
      <x:c r="A18" s="118" t="str">
        <x:v>L-12</x:v>
      </x:c>
      <x:c r="B18" s="118" t="str">
        <x:v>Verified Email才進自動聯繫池</x:v>
      </x:c>
      <x:c r="C18" s="118" t="str">
        <x:v>未驗證/推定/組織Email不得進</x:v>
      </x:c>
      <x:c r="D18" s="118" t="str">
        <x:v>FALSE_EMAIL_READY</x:v>
      </x:c>
      <x:c r="E18" s="118" t="str">
        <x:v>Email Source URL必填</x:v>
      </x:c>
    </x:row>
    <x:row r="19">
      <x:c r="A19" s="118" t="str">
        <x:v>L-13</x:v>
      </x:c>
      <x:c r="B19" s="118" t="str">
        <x:v>LinkedIn-only獨立人工Queue</x:v>
      </x:c>
      <x:c r="C19" s="118" t="str">
        <x:v>不把Profile數量當自動聯繫能力</x:v>
      </x:c>
      <x:c r="D19" s="118" t="str">
        <x:v>AUTOMATION_CAPACITY_OVERSTATED</x:v>
      </x:c>
      <x:c r="E19" s="118" t="str">
        <x:v>新錨點才重啟Email</x:v>
      </x:c>
    </x:row>
    <x:row r="20">
      <x:c r="A20" s="140" t="str">
        <x:v>L-14</x:v>
      </x:c>
      <x:c r="B20" s="140" t="str">
        <x:v>JD不得直接等同人才畫像</x:v>
      </x:c>
      <x:c r="C20" s="140" t="str">
        <x:v>只補問最多3個會改變Route的問題</x:v>
      </x:c>
      <x:c r="D20" s="140" t="str">
        <x:v>TITLE_SEMANTIC_DRIFT</x:v>
      </x:c>
      <x:c r="E20" s="140" t="str">
        <x:v>Archetype Lock</x:v>
      </x:c>
    </x:row>
    <x:row r="21">
      <x:c r="A21" s="140" t="str">
        <x:v>L-15</x:v>
      </x:c>
      <x:c r="B21" s="140" t="str">
        <x:v>先找5位校準樣本</x:v>
      </x:c>
      <x:c r="C21" s="140" t="str">
        <x:v>&gt;=4 MATCH才可擴張</x:v>
      </x:c>
      <x:c r="D21" s="140" t="str">
        <x:v>BULK_SOURCING_BEFORE_CALIBRATION</x:v>
      </x:c>
      <x:c r="E21" s="140" t="str">
        <x:v>Contact深查暫停</x:v>
      </x:c>
    </x:row>
    <x:row r="22">
      <x:c r="A22" s="140" t="str">
        <x:v>L-16</x:v>
      </x:c>
      <x:c r="B22" s="140" t="str">
        <x:v>直播拆真人/虛擬/遊戲</x:v>
      </x:c>
      <x:c r="C22" s="140" t="str">
        <x:v>不得以廣義Creator混流</x:v>
      </x:c>
      <x:c r="D22" s="140" t="str">
        <x:v>LIVESTREAM_ECOSYSTEM_COLLAPSE</x:v>
      </x:c>
      <x:c r="E22" s="140" t="str">
        <x:v>Blocked Source Ecosystem</x:v>
      </x:c>
    </x:row>
    <x:row r="23">
      <x:c r="A23" s="140" t="str">
        <x:v>L-17</x:v>
      </x:c>
      <x:c r="B23" s="140" t="str">
        <x:v>錯路由整批歸零</x:v>
      </x:c>
      <x:c r="C23" s="140" t="str">
        <x:v>FAILED_ROUTE_FALSE_POSITIVE不得算可用人選</x:v>
      </x:c>
      <x:c r="D23" s="140" t="str">
        <x:v>CONTACT_RICH_FALSE_SUCCESS</x:v>
      </x:c>
      <x:c r="E23" s="140" t="str">
        <x:v>回到Calibration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d01f188b44948f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  <x:col min="7" max="7" width="32" hidden="0" customWidth="1"/>
    <x:col min="8" max="8" width="30" hidden="0" customWidth="1"/>
    <x:col min="9" max="9" width="38" hidden="0" customWidth="1"/>
    <x:col min="10" max="10" width="38" hidden="0" customWidth="1"/>
    <x:col min="11" max="11" width="50" hidden="0" customWidth="1"/>
    <x:col min="12" max="12" width="50" hidden="0" customWidth="1"/>
    <x:col min="13" max="13" width="50" hidden="0" customWidth="1"/>
  </x:cols>
  <x:sheetData>
    <x:row r="1" ht="15" hidden="0" customHeight="1">
      <x:c r="A1" s="38" t="str">
        <x:v>V16 Contact Sprint｜17位Direct人選非學術路徑複查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 ht="34" hidden="0" customHeight="1">
      <x:c r="A3" s="39" t="str">
        <x:v>姓名</x:v>
      </x:c>
      <x:c r="B3" s="39" t="str">
        <x:v>公司</x:v>
      </x:c>
      <x:c r="C3" s="39" t="str">
        <x:v>查詢路徑</x:v>
      </x:c>
      <x:c r="D3" s="39" t="str">
        <x:v>本人Email</x:v>
      </x:c>
      <x:c r="E3" s="39" t="str">
        <x:v>本人電話</x:v>
      </x:c>
      <x:c r="F3" s="39" t="str">
        <x:v>LinkedIn</x:v>
      </x:c>
      <x:c r="G3" s="39" t="str">
        <x:v>第二社群</x:v>
      </x:c>
      <x:c r="H3" s="39" t="str">
        <x:v>公司Referral</x:v>
      </x:c>
      <x:c r="I3" s="39" t="str">
        <x:v>同名排除</x:v>
      </x:c>
      <x:c r="J3" s="39" t="str">
        <x:v>狀態</x:v>
      </x:c>
      <x:c r="K3" s="39" t="str">
        <x:v>停止/續查</x:v>
      </x:c>
      <x:c r="L3" s="39" t="str">
        <x:v>來源1</x:v>
      </x:c>
      <x:c r="M3" s="39" t="str">
        <x:v>來源2</x:v>
      </x:c>
    </x:row>
    <x:row r="4" ht="15" hidden="0" customHeight="1">
      <x:c r="A4" s="33"/>
      <x:c r="B4" s="33"/>
      <x:c r="C4" s="33" t="str">
        <x:v>只對DIRECT_TARGET或CONTACT_AFTER_CONFIRMATION執行</x:v>
      </x:c>
      <x:c r="D4" s="33"/>
      <x:c r="E4" s="33"/>
      <x:c r="F4" s="33"/>
      <x:c r="G4" s="33"/>
      <x:c r="H4" s="33"/>
      <x:c r="I4" s="33"/>
      <x:c r="J4" s="33" t="str">
        <x:v>NOT_STARTED</x:v>
      </x:c>
      <x:c r="K4" s="33" t="str">
        <x:v>新錨點才重啟</x:v>
      </x:c>
      <x:c r="L4" s="33"/>
      <x:c r="M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 ht="48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 ht="24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</x:sheetData>
  <x:mergeCells>
    <x:mergeCell ref="A1:M1"/>
  </x:mergeCells>
  <x:conditionalFormatting sqref="J4:J20">
    <x:cfRule type="containsText" dxfId="2" priority="1" operator="containsText" text="DIRECT_SOCIAL"/>
    <x:cfRule type="containsText" dxfId="3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3c36db5e8ca848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52" hidden="0" customWidth="1"/>
    <x:col min="5" max="5" width="12" hidden="0" customWidth="1"/>
    <x:col min="6" max="6" width="24" hidden="0" customWidth="1"/>
    <x:col min="7" max="7" width="22" hidden="0" customWidth="1"/>
    <x:col min="8" max="8" width="52" hidden="0" customWidth="1"/>
    <x:col min="9" max="9" width="52" hidden="0" customWidth="1"/>
    <x:col min="10" max="10" width="38" hidden="0" customWidth="1"/>
  </x:cols>
  <x:sheetData>
    <x:row r="1" ht="15" hidden="0" customHeight="1">
      <x:c r="A1" s="38" t="str">
        <x:v>V16 Candidate Graph Expansion｜新Raw Leads先回Gate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 ht="34" hidden="0" customHeight="1">
      <x:c r="A3" s="39" t="str">
        <x:v>姓名</x:v>
      </x:c>
      <x:c r="B3" s="39" t="str">
        <x:v>來源關係</x:v>
      </x:c>
      <x:c r="C3" s="39" t="str">
        <x:v>公司/組織</x:v>
      </x:c>
      <x:c r="D3" s="39" t="str">
        <x:v>公開訊號</x:v>
      </x:c>
      <x:c r="E3" s="39" t="str">
        <x:v>年份</x:v>
      </x:c>
      <x:c r="F3" s="39" t="str">
        <x:v>分類</x:v>
      </x:c>
      <x:c r="G3" s="39" t="str">
        <x:v>可否直接聯絡</x:v>
      </x:c>
      <x:c r="H3" s="39" t="str">
        <x:v>Source URL</x:v>
      </x:c>
      <x:c r="I3" s="39" t="str">
        <x:v>下一步</x:v>
      </x:c>
      <x:c r="J3" s="39" t="str">
        <x:v>備註</x:v>
      </x:c>
    </x:row>
    <x:row r="4" ht="15" hidden="0" customHeight="1">
      <x:c r="A4" s="33"/>
      <x:c r="B4" s="33" t="str">
        <x:v>A級人選至少擴張5節點</x:v>
      </x:c>
      <x:c r="C4" s="33"/>
      <x:c r="D4" s="33"/>
      <x:c r="E4" s="33"/>
      <x:c r="F4" s="33" t="str">
        <x:v>RAW_LEAD</x:v>
      </x:c>
      <x:c r="G4" s="33" t="str">
        <x:v>NO</x:v>
      </x:c>
      <x:c r="H4" s="33"/>
      <x:c r="I4" s="33" t="str">
        <x:v>回Identity Resolution</x:v>
      </x:c>
      <x:c r="J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ec65cad878b940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34" hidden="0" customWidth="1"/>
    <x:col min="12" max="12" width="50" hidden="0" customWidth="1"/>
    <x:col min="13" max="13" width="54" hidden="0" customWidth="1"/>
    <x:col min="14" max="14" width="52" hidden="0" customWidth="1"/>
  </x:cols>
  <x:sheetData>
    <x:row r="1" ht="15" hidden="0" customHeight="1">
      <x:c r="A1" s="38" t="str">
        <x:v>V17 橫向聯絡補查｜Cake / GitHub / 公開個人網站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4" t="str">
        <x:v>只對17位Direct執行。FOUND需姓名＋公司/技能/經歷錨點；Cake只作輔助來源；GitHub不查commit metadata；同名或通用頁全部排除。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34" hidden="0" customHeight="1">
      <x:c r="A3" s="39" t="str">
        <x:v>姓名</x:v>
      </x:c>
      <x:c r="B3" s="39" t="str">
        <x:v>公司錨點</x:v>
      </x:c>
      <x:c r="C3" s="39" t="str">
        <x:v>Cake狀態</x:v>
      </x:c>
      <x:c r="D3" s="39" t="str">
        <x:v>Cake URL</x:v>
      </x:c>
      <x:c r="E3" s="39" t="str">
        <x:v>GitHub狀態</x:v>
      </x:c>
      <x:c r="F3" s="39" t="str">
        <x:v>GitHub URL</x:v>
      </x:c>
      <x:c r="G3" s="39" t="str">
        <x:v>個站狀態</x:v>
      </x:c>
      <x:c r="H3" s="39" t="str">
        <x:v>個站URL</x:v>
      </x:c>
      <x:c r="I3" s="39" t="str">
        <x:v>新增Email</x:v>
      </x:c>
      <x:c r="J3" s="39" t="str">
        <x:v>新增電話</x:v>
      </x:c>
      <x:c r="K3" s="39" t="str">
        <x:v>身分判斷</x:v>
      </x:c>
      <x:c r="L3" s="39" t="str">
        <x:v>False Positive / 噪音</x:v>
      </x:c>
      <x:c r="M3" s="39" t="str">
        <x:v>下一次重啟條件</x:v>
      </x:c>
      <x:c r="N3" s="39" t="str">
        <x:v>LinkedIn證據</x:v>
      </x:c>
    </x:row>
    <x:row r="4" ht="15" hidden="0" customHeight="1">
      <x:c r="A4" s="33"/>
      <x:c r="B4" s="33"/>
      <x:c r="C4" s="33"/>
      <x:c r="D4" s="33" t="str">
        <x:v>Qualified後才查</x:v>
      </x:c>
      <x:c r="E4" s="33" t="str">
        <x:v>NOT_STARTED</x:v>
      </x:c>
      <x:c r="F4" s="33"/>
      <x:c r="G4" s="33"/>
      <x:c r="H4" s="33" t="str">
        <x:v>NOT_STARTED</x:v>
      </x:c>
      <x:c r="I4" s="33"/>
      <x:c r="J4" s="33"/>
      <x:c r="K4" s="33" t="str">
        <x:v>NOT_STARTED</x:v>
      </x:c>
      <x:c r="L4" s="33"/>
      <x:c r="M4" s="33"/>
      <x:c r="N4" s="33"/>
      <x:c r="O4"/>
      <x:c r="P4" t="str">
        <x:v>等待合格人選</x:v>
      </x:c>
      <x:c r="Q4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/>
      <x:c r="P5"/>
      <x:c r="Q5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/>
      <x:c r="P6"/>
      <x:c r="Q6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/>
      <x:c r="P7"/>
      <x:c r="Q7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/>
      <x:c r="P8"/>
      <x:c r="Q8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/>
      <x:c r="P9"/>
      <x:c r="Q9"/>
    </x:row>
    <x:row r="10" ht="24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/>
      <x:c r="P10"/>
      <x:c r="Q10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/>
      <x:c r="P11"/>
      <x:c r="Q11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/>
      <x:c r="P12"/>
      <x:c r="Q12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/>
      <x:c r="P13"/>
      <x:c r="Q1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/>
      <x:c r="P14"/>
      <x:c r="Q14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/>
      <x:c r="P15"/>
      <x:c r="Q15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/>
      <x:c r="P16"/>
      <x:c r="Q16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/>
      <x:c r="P17"/>
      <x:c r="Q17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/>
      <x:c r="P18"/>
      <x:c r="Q18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/>
      <x:c r="P19"/>
      <x:c r="Q19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</x:sheetData>
  <x:mergeCells>
    <x:mergeCell ref="A1:N1"/>
    <x:mergeCell ref="A2:N2"/>
  </x:mergeCells>
  <x:conditionalFormatting sqref="K4:K20">
    <x:cfRule type="containsText" dxfId="4" priority="1" operator="containsText" text="NO_VERIFIED"/>
  </x:conditionalFormatting>
  <x:pageMargins left="0.7" right="0.7" top="0.75" bottom="0.75" header="0.3" footer="0.3"/>
  <x:tableParts count="1">
    <x:tablePart xmlns:r="http://schemas.openxmlformats.org/officeDocument/2006/relationships" r:id="R5146162f469f437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4" hidden="0" customWidth="1"/>
    <x:col min="4" max="4" width="48" hidden="0" customWidth="1"/>
    <x:col min="5" max="5" width="34" hidden="0" customWidth="1"/>
    <x:col min="6" max="6" width="34" hidden="0" customWidth="1"/>
    <x:col min="7" max="7" width="42" hidden="0" customWidth="1"/>
    <x:col min="8" max="8" width="44" hidden="0" customWidth="1"/>
    <x:col min="9" max="9" width="32" hidden="0" customWidth="1"/>
    <x:col min="10" max="10" width="38" hidden="0" customWidth="1"/>
  </x:cols>
  <x:sheetData>
    <x:row r="1" ht="15" hidden="0" customHeight="1">
      <x:c r="A1" s="38" t="str">
        <x:v>Job Strategy Router V1｜10類人才生態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4" t="str">
        <x:v>固定框架，不固定平台。每個JD先選Primary/Secondary，再疊加職級、工作型態、證據模式與Overlays，最後才產生來源與聯絡策略。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34" hidden="0" customHeight="1">
      <x:c r="A3" s="39" t="str">
        <x:v>Route Code</x:v>
      </x:c>
      <x:c r="B3" s="39" t="str">
        <x:v>人才生態</x:v>
      </x:c>
      <x:c r="C3" s="39" t="str">
        <x:v>主要職缺</x:v>
      </x:c>
      <x:c r="D3" s="39" t="str">
        <x:v>高價值公開證據</x:v>
      </x:c>
      <x:c r="E3" s="39" t="str">
        <x:v>來源優先1</x:v>
      </x:c>
      <x:c r="F3" s="39" t="str">
        <x:v>來源優先2</x:v>
      </x:c>
      <x:c r="G3" s="39" t="str">
        <x:v>聯絡優先</x:v>
      </x:c>
      <x:c r="H3" s="39" t="str">
        <x:v>典型錨點</x:v>
      </x:c>
      <x:c r="I3" s="39" t="str">
        <x:v>通常低效來源</x:v>
      </x:c>
      <x:c r="J3" s="39" t="str">
        <x:v>主要風險</x:v>
      </x:c>
    </x:row>
    <x:row r="4" ht="15" hidden="0" customHeight="1">
      <x:c r="A4" s="33" t="str">
        <x:v>ENG_CONSTRUCTION</x:v>
      </x:c>
      <x:c r="B4" s="33" t="str">
        <x:v>工程/營建/製造</x:v>
      </x:c>
      <x:c r="C4" s="33" t="str">
        <x:v>BIM、土木、MEP、廠務</x:v>
      </x:c>
      <x:c r="D4" s="33" t="str">
        <x:v>專案、標案、公司案例、技術活動</x:v>
      </x:c>
      <x:c r="E4" s="33" t="str">
        <x:v>專案/標案/得標公司</x:v>
      </x:c>
      <x:c r="F4" s="33" t="str">
        <x:v>目標公司/活動/證照</x:v>
      </x:c>
      <x:c r="G4" s="33" t="str">
        <x:v>專業Email→電話→社群→公司轉介</x:v>
      </x:c>
      <x:c r="H4" s="33" t="str">
        <x:v>公司+專案+工具+地點+時間</x:v>
      </x:c>
      <x:c r="I4" s="33" t="str">
        <x:v>通用Cake/GitHub</x:v>
      </x:c>
      <x:c r="J4" s="33" t="str">
        <x:v>把主管/教授誤當IC</x:v>
      </x:c>
    </x:row>
    <x:row r="5" ht="15" hidden="0" customHeight="1">
      <x:c r="A5" s="33" t="str">
        <x:v>SOFTWARE_DATA</x:v>
      </x:c>
      <x:c r="B5" s="33" t="str">
        <x:v>軟體/資料/技術</x:v>
      </x:c>
      <x:c r="C5" s="33" t="str">
        <x:v>軟體、資料、雲端、產品工程</x:v>
      </x:c>
      <x:c r="D5" s="33" t="str">
        <x:v>Repo、套件、技術文章、演講</x:v>
      </x:c>
      <x:c r="E5" s="33" t="str">
        <x:v>GitHub/套件/技術內容</x:v>
      </x:c>
      <x:c r="F5" s="33" t="str">
        <x:v>社群/活動/公司Alumni</x:v>
      </x:c>
      <x:c r="G5" s="33" t="str">
        <x:v>Profile Email→個站→社群→公司轉介</x:v>
      </x:c>
      <x:c r="H5" s="33" t="str">
        <x:v>Username+Repo+公司+技術+時間</x:v>
      </x:c>
      <x:c r="I5" s="33" t="str">
        <x:v>無技術輸出的名冊</x:v>
      </x:c>
      <x:c r="J5" s="33" t="str">
        <x:v>同名帳號/commit資料誤用</x:v>
      </x:c>
    </x:row>
    <x:row r="6" ht="15" hidden="0" customHeight="1">
      <x:c r="A6" s="33" t="str">
        <x:v>CREATIVE_CONTENT</x:v>
      </x:c>
      <x:c r="B6" s="33" t="str">
        <x:v>影音/設計/品牌內容</x:v>
      </x:c>
      <x:c r="C6" s="33" t="str">
        <x:v>影音剪輯、社群、設計</x:v>
      </x:c>
      <x:c r="D6" s="33" t="str">
        <x:v>作品集、品牌署名、公開頻道、獎項</x:v>
      </x:c>
      <x:c r="E6" s="33" t="str">
        <x:v>作品/公開內容/品牌案例</x:v>
      </x:c>
      <x:c r="F6" s="33" t="str">
        <x:v>Agency/活動/接案作品</x:v>
      </x:c>
      <x:c r="G6" s="33" t="str">
        <x:v>商務Email→個站→電話→DM</x:v>
      </x:c>
      <x:c r="H6" s="33" t="str">
        <x:v>Handle+作品+客戶+地點+時間</x:v>
      </x:c>
      <x:c r="I6" s="33" t="str">
        <x:v>純證照榜單</x:v>
      </x:c>
      <x:c r="J6" s="33" t="str">
        <x:v>作品歸屬不清</x:v>
      </x:c>
    </x:row>
    <x:row r="7" ht="15" hidden="0" customHeight="1">
      <x:c r="A7" s="33" t="str">
        <x:v>CREATOR_LIVESTREAM</x:v>
      </x:c>
      <x:c r="B7" s="33" t="str">
        <x:v>直播/主持/公開創作者</x:v>
      </x:c>
      <x:c r="C7" s="33" t="str">
        <x:v>直播主、主持、表演</x:v>
      </x:c>
      <x:c r="D7" s="33" t="str">
        <x:v>活躍帳號、直播片段、合作紀錄</x:v>
      </x:c>
      <x:c r="E7" s="33" t="str">
        <x:v>公開直播/短影音帳號</x:v>
      </x:c>
      <x:c r="F7" s="33" t="str">
        <x:v>創作者社群/公會/合作名單</x:v>
      </x:c>
      <x:c r="G7" s="33" t="str">
        <x:v>商務Email→工作電話→平台DM→公會</x:v>
      </x:c>
      <x:c r="H7" s="33" t="str">
        <x:v>自連帳號+Handle+內容+地點+近期性</x:v>
      </x:c>
      <x:c r="I7" s="33" t="str">
        <x:v>學術/公司員工頁</x:v>
      </x:c>
      <x:c r="J7" s="33" t="str">
        <x:v>外貌/年齡等非法篩選</x:v>
      </x:c>
    </x:row>
    <x:row r="8" ht="15" hidden="0" customHeight="1">
      <x:c r="A8" s="33" t="str">
        <x:v>SALES_OPERATIONS</x:v>
      </x:c>
      <x:c r="B8" s="33" t="str">
        <x:v>業務/營運/管理</x:v>
      </x:c>
      <x:c r="C8" s="33" t="str">
        <x:v>業務、AM、營運、一般管理</x:v>
      </x:c>
      <x:c r="D8" s="33" t="str">
        <x:v>公司新聞、展覽、客戶案例、講者</x:v>
      </x:c>
      <x:c r="E8" s="33" t="str">
        <x:v>目標公司/展覽/協會</x:v>
      </x:c>
      <x:c r="F8" s="33" t="str">
        <x:v>案例/活動/Alumni</x:v>
      </x:c>
      <x:c r="G8" s="33" t="str">
        <x:v>工作Email→社群→公司轉介→電話</x:v>
      </x:c>
      <x:c r="H8" s="33" t="str">
        <x:v>公司+市場+客戶+職能+時間</x:v>
      </x:c>
      <x:c r="I8" s="33" t="str">
        <x:v>GitHub/學術頁</x:v>
      </x:c>
      <x:c r="J8" s="33" t="str">
        <x:v>職級與薪資錯配</x:v>
      </x:c>
    </x:row>
    <x:row r="9" ht="15" hidden="0" customHeight="1">
      <x:c r="A9" s="33" t="str">
        <x:v>CROSS_BORDER_EXEC_SUPPORT</x:v>
      </x:c>
      <x:c r="B9" s="33" t="str">
        <x:v>跨國特助/雙語機密支援</x:v>
      </x:c>
      <x:c r="C9" s="33" t="str">
        <x:v>特助、秘書、口譯</x:v>
      </x:c>
      <x:c r="D9" s="33" t="str">
        <x:v>語言、主管支援、海外經歷、雙語活動</x:v>
      </x:c>
      <x:c r="E9" s="33" t="str">
        <x:v>雙語公司/口譯商會/校友</x:v>
      </x:c>
      <x:c r="F9" s="33" t="str">
        <x:v>旅宿/渡假村/Executive Office Alumni</x:v>
      </x:c>
      <x:c r="G9" s="33" t="str">
        <x:v>專業Email→LinkedIn→公開LINE/社群→轉介</x:v>
      </x:c>
      <x:c r="H9" s="33" t="str">
        <x:v>語言+公司+支援任務+地點+時間</x:v>
      </x:c>
      <x:c r="I9" s="33" t="str">
        <x:v>通用作品站</x:v>
      </x:c>
      <x:c r="J9" s="33" t="str">
        <x:v>把特助誤判為管理職</x:v>
      </x:c>
    </x:row>
    <x:row r="10" ht="15" hidden="0" customHeight="1">
      <x:c r="A10" s="33" t="str">
        <x:v>LICENSED_HEALTHCARE</x:v>
      </x:c>
      <x:c r="B10" s="33" t="str">
        <x:v>醫療/照護/臨床</x:v>
      </x:c>
      <x:c r="C10" s="33" t="str">
        <x:v>護理、治療、臨床職</x:v>
      </x:c>
      <x:c r="D10" s="33" t="str">
        <x:v>合法公開執照、醫療團隊、進修、臨床現職</x:v>
      </x:c>
      <x:c r="E10" s="33" t="str">
        <x:v>執照/協會/醫療機構</x:v>
      </x:c>
      <x:c r="F10" s="33" t="str">
        <x:v>進修/校友/專業社群</x:v>
      </x:c>
      <x:c r="G10" s="33" t="str">
        <x:v>專業Email/電話→社群→診所/協會轉介</x:v>
      </x:c>
      <x:c r="H10" s="33" t="str">
        <x:v>執照+雇主+專科+地點+時間</x:v>
      </x:c>
      <x:c r="I10" s="33" t="str">
        <x:v>GitHub/創作者平台</x:v>
      </x:c>
      <x:c r="J10" s="33" t="str">
        <x:v>碰觸病歷/非公開名冊</x:v>
      </x:c>
    </x:row>
    <x:row r="11" ht="15" hidden="0" customHeight="1">
      <x:c r="A11" s="33" t="str">
        <x:v>SKILLED_TRADES</x:v>
      </x:c>
      <x:c r="B11" s="33" t="str">
        <x:v>技術員/操作/現場技能</x:v>
      </x:c>
      <x:c r="C11" s="33" t="str">
        <x:v>維修、操作、技師、現場工種</x:v>
      </x:c>
      <x:c r="D11" s="33" t="str">
        <x:v>職訓、技能競賽、承包商、證照、工地</x:v>
      </x:c>
      <x:c r="E11" s="33" t="str">
        <x:v>職訓/證照/競賽</x:v>
      </x:c>
      <x:c r="F11" s="33" t="str">
        <x:v>承包商/公會/Referral</x:v>
      </x:c>
      <x:c r="G11" s="33" t="str">
        <x:v>工作電話→Email→社群→承包商轉介</x:v>
      </x:c>
      <x:c r="H11" s="33" t="str">
        <x:v>證照+承包商+設備+地點+時間</x:v>
      </x:c>
      <x:c r="I11" s="33" t="str">
        <x:v>白領作品網站</x:v>
      </x:c>
      <x:c r="J11" s="33" t="str">
        <x:v>人選公開足跡低</x:v>
      </x:c>
    </x:row>
    <x:row r="12" ht="15" hidden="0" customHeight="1">
      <x:c r="A12" s="33" t="str">
        <x:v>ACADEMIC_RESEARCH</x:v>
      </x:c>
      <x:c r="B12" s="33" t="str">
        <x:v>學術/科學/研發</x:v>
      </x:c>
      <x:c r="C12" s="33" t="str">
        <x:v>研究員、科學家、學術研發</x:v>
      </x:c>
      <x:c r="D12" s="33" t="str">
        <x:v>論文、專利、實驗室、研討會、ORCID</x:v>
      </x:c>
      <x:c r="E12" s="33" t="str">
        <x:v>論文/專利/實驗室</x:v>
      </x:c>
      <x:c r="F12" s="33" t="str">
        <x:v>研討會/學會/Grant</x:v>
      </x:c>
      <x:c r="G12" s="33" t="str">
        <x:v>機構Email→Lab/ORCID→社群→機構轉介</x:v>
      </x:c>
      <x:c r="H12" s="33" t="str">
        <x:v>機構+主題+共同作者+時間+學位</x:v>
      </x:c>
      <x:c r="I12" s="33" t="str">
        <x:v>娛樂/創作者平台</x:v>
      </x:c>
      <x:c r="J12" s="33" t="str">
        <x:v>學術資深度與產業Fit錯配</x:v>
      </x:c>
    </x:row>
    <x:row r="13" ht="15" hidden="0" customHeight="1">
      <x:c r="A13" s="33" t="str">
        <x:v>CERTIFIED_PROFESSIONAL</x:v>
      </x:c>
      <x:c r="B13" s="33" t="str">
        <x:v>其他證照專業</x:v>
      </x:c>
      <x:c r="C13" s="33" t="str">
        <x:v>會計、技師、受規範專業</x:v>
      </x:c>
      <x:c r="D13" s="33" t="str">
        <x:v>官方名冊、專業公會、進修、執業頁</x:v>
      </x:c>
      <x:c r="E13" s="33" t="str">
        <x:v>證照/執照/公會</x:v>
      </x:c>
      <x:c r="F13" s="33" t="str">
        <x:v>進修/講者/執業團隊</x:v>
      </x:c>
      <x:c r="G13" s="33" t="str">
        <x:v>專業Email/電話→Profile→公會轉介</x:v>
      </x:c>
      <x:c r="H13" s="33" t="str">
        <x:v>證照+管轄+雇主+專業+時間</x:v>
      </x:c>
      <x:c r="I13" s="33" t="str">
        <x:v>無錨點社群</x:v>
      </x:c>
      <x:c r="J13" s="33" t="str">
        <x:v>證照過期/同名誤認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01effcb2333417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24" hidden="0" customWidth="1"/>
    <x:col min="5" max="5" width="34" hidden="0" customWidth="1"/>
    <x:col min="6" max="6" width="34" hidden="0" customWidth="1"/>
    <x:col min="7" max="7" width="48" hidden="0" customWidth="1"/>
    <x:col min="8" max="8" width="62" hidden="0" customWidth="1"/>
    <x:col min="9" max="9" width="62" hidden="0" customWidth="1"/>
    <x:col min="10" max="10" width="54" hidden="0" customWidth="1"/>
    <x:col min="11" max="11" width="54" hidden="0" customWidth="1"/>
    <x:col min="12" max="12" width="52" hidden="0" customWidth="1"/>
    <x:col min="13" max="13" width="54" hidden="0" customWidth="1"/>
    <x:col min="14" max="14" width="14" hidden="0" customWidth="1"/>
    <x:col min="15" max="15" width="54" hidden="0" customWidth="1"/>
  </x:cols>
  <x:sheetData>
    <x:row r="1" ht="15" hidden="0" customHeight="1">
      <x:c r="A1" s="38" t="str">
        <x:v>Router V1實測｜5個Step1ne職缺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7" t="str">
        <x:v>PASS代表路由能產生職缺專屬策略，不代表已完成Candidate sourcing。Source URL是本輪JD判斷依據。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 ht="34" hidden="0" customHeight="1">
      <x:c r="A3" s="39" t="str">
        <x:v>職缺</x:v>
      </x:c>
      <x:c r="B3" s="39" t="str">
        <x:v>Primary</x:v>
      </x:c>
      <x:c r="C3" s="39" t="str">
        <x:v>Secondary</x:v>
      </x:c>
      <x:c r="D3" s="39" t="str">
        <x:v>職級</x:v>
      </x:c>
      <x:c r="E3" s="39" t="str">
        <x:v>工作型態</x:v>
      </x:c>
      <x:c r="F3" s="39" t="str">
        <x:v>Evidence Mode</x:v>
      </x:c>
      <x:c r="G3" s="39" t="str">
        <x:v>關鍵Overlays</x:v>
      </x:c>
      <x:c r="H3" s="39" t="str">
        <x:v>Hard Gate</x:v>
      </x:c>
      <x:c r="I3" s="39" t="str">
        <x:v>高優先來源</x:v>
      </x:c>
      <x:c r="J3" s="39" t="str">
        <x:v>身份錨點</x:v>
      </x:c>
      <x:c r="K3" s="39" t="str">
        <x:v>Contact Waterfall</x:v>
      </x:c>
      <x:c r="L3" s="39" t="str">
        <x:v>低效/禁止</x:v>
      </x:c>
      <x:c r="M3" s="39" t="str">
        <x:v>Stop/Reroute</x:v>
      </x:c>
      <x:c r="N3" s="39" t="str">
        <x:v>測試結果</x:v>
      </x:c>
      <x:c r="O3" s="39" t="str">
        <x:v>JD URL</x:v>
      </x:c>
    </x:row>
    <x:row r="4" ht="24" hidden="0" customHeight="1">
      <x:c r="A4" s="33" t="str">
        <x:v>BIM工程師</x:v>
      </x:c>
      <x:c r="B4" s="33" t="str">
        <x:v>ENG_CONSTRUCTION</x:v>
      </x:c>
      <x:c r="C4" s="33" t="str">
        <x:v>SOFTWARE_DATA（只限API/Dynamo）</x:v>
      </x:c>
      <x:c r="D4" s="33" t="str">
        <x:v>Junior/Mid IC</x:v>
      </x:c>
      <x:c r="E4" s="33" t="str">
        <x:v>Permanent+Onsite</x:v>
      </x:c>
      <x:c r="F4" s="33" t="str">
        <x:v>Project+Role+Certification</x:v>
      </x:c>
      <x:c r="G4" s="33" t="str">
        <x:v>SHIFT_OR_ATTENDANCE; FIELDWORK; LOCATION; COMPENSATION</x:v>
      </x:c>
      <x:c r="H4" s="33" t="str">
        <x:v>Revit/BIM hands-on、大學、苗栗到班、薪資/駕照待確認</x:v>
      </x:c>
      <x:c r="I4" s="33" t="str">
        <x:v>專案/標案→公司BIM中心→Autodesk活動/案例→課程/證照→Alumni</x:v>
      </x:c>
      <x:c r="J4" s="33" t="str">
        <x:v>公司+專案+Revit/MEP+地點+時間</x:v>
      </x:c>
      <x:c r="K4" s="33" t="str">
        <x:v>專業Email→技術作者/講者電話或社群→公司轉介</x:v>
      </x:c>
      <x:c r="L4" s="33" t="str">
        <x:v>通用Cake/GitHub低效；禁止猜Email</x:v>
      </x:c>
      <x:c r="M4" s="33" t="str">
        <x:v>新公司/專案/Username/API作品出現才重啟</x:v>
      </x:c>
      <x:c r="N4" s="33" t="str">
        <x:v>PASS</x:v>
      </x:c>
      <x:c r="O4" s="33" t="str">
        <x:v>https://step1ne.com/jobs/bim-engineer/</x:v>
      </x:c>
    </x:row>
    <x:row r="5" ht="24" hidden="0" customHeight="1">
      <x:c r="A5" s="33" t="str">
        <x:v>在家直播主</x:v>
      </x:c>
      <x:c r="B5" s="33" t="str">
        <x:v>CREATOR_LIVESTREAM</x:v>
      </x:c>
      <x:c r="C5" s="33" t="str">
        <x:v>CREATIVE_CONTENT</x:v>
      </x:c>
      <x:c r="D5" s="33" t="str">
        <x:v>Entry/Mixed</x:v>
      </x:c>
      <x:c r="E5" s="33" t="str">
        <x:v>Contractor+Remote+Volume</x:v>
      </x:c>
      <x:c r="F5" s="33" t="str">
        <x:v>Public-content+Platform</x:v>
      </x:c>
      <x:c r="G5" s="33" t="str">
        <x:v>CONTRACTOR_ECONOMICS; PUBLIC_PERSONA; PLATFORM; VOLUME_HIRING</x:v>
      </x:c>
      <x:c r="H5" s="33" t="str">
        <x:v>台胞證、外幣收款帳戶、直播時數/天數、居家設備、接受承攬</x:v>
      </x:c>
      <x:c r="I5" s="33" t="str">
        <x:v>公開直播/短影音帳號→創作者合作/公會→主持/表演/校園創作者→Referral</x:v>
      </x:c>
      <x:c r="J5" s="33" t="str">
        <x:v>自連帳號+一致Handle+直播內容+地點+近期性</x:v>
      </x:c>
      <x:c r="K5" s="33" t="str">
        <x:v>商務Email/Link page→工作電話→平台DM→公會轉介</x:v>
      </x:c>
      <x:c r="L5" s="33" t="str">
        <x:v>學術來源低效；禁止外貌/年齡/性別非法篩選</x:v>
      </x:c>
      <x:c r="M5" s="33" t="str">
        <x:v>帳號不活躍或身份無法交叉即停；新Handle/合作紀錄才重啟</x:v>
      </x:c>
      <x:c r="N5" s="33" t="str">
        <x:v>PASS</x:v>
      </x:c>
      <x:c r="O5" s="33" t="str">
        <x:v>https://step1ne.com/jobs/live-streamer-home/</x:v>
      </x:c>
    </x:row>
    <x:row r="6" ht="24" hidden="0" customHeight="1">
      <x:c r="A6" s="33" t="str">
        <x:v>日本常駐主管特助</x:v>
      </x:c>
      <x:c r="B6" s="33" t="str">
        <x:v>CROSS_BORDER_EXEC_SUPPORT</x:v>
      </x:c>
      <x:c r="C6" s="33" t="str">
        <x:v>SALES_OPERATIONS</x:v>
      </x:c>
      <x:c r="D6" s="33" t="str">
        <x:v>Mid IC（非管理職）</x:v>
      </x:c>
      <x:c r="E6" s="33" t="str">
        <x:v>Contract+Overseas+Onsite</x:v>
      </x:c>
      <x:c r="F6" s="33" t="str">
        <x:v>Language+Role+Overseas</x:v>
      </x:c>
      <x:c r="G6" s="33" t="str">
        <x:v>LANGUAGE_HARD_GATE; OVERSEAS_RELOCATION; WORK_AUTH; CONFIDENTIAL_ROLE; DRIVING</x:v>
      </x:c>
      <x:c r="H6" s="33" t="str">
        <x:v>N1/N2實務、2–3年支援/口譯、大學、長住日本、良民證/NDA</x:v>
      </x:c>
      <x:c r="I6" s="33" t="str">
        <x:v>日台雙語公司/商會→口譯秘書網絡→日本校友→旅宿/渡假村→Executive Office Alumni</x:v>
      </x:c>
      <x:c r="J6" s="33" t="str">
        <x:v>語言+公司+支援任務+日本地點+時間</x:v>
      </x:c>
      <x:c r="K6" s="33" t="str">
        <x:v>專業Email→LinkedIn→本人公開LINE/社群→保密轉介</x:v>
      </x:c>
      <x:c r="L6" s="33" t="str">
        <x:v>一般主管名冊不等於目標；作品站通常低效</x:v>
      </x:c>
      <x:c r="M6" s="33" t="str">
        <x:v>無語言/日本/支援錨點即停；新雇主或海外經歷才重啟</x:v>
      </x:c>
      <x:c r="N6" s="33" t="str">
        <x:v>PASS</x:v>
      </x:c>
      <x:c r="O6" s="33" t="str">
        <x:v>https://step1ne.com/jobs/executive-assistant-japan-taiwan/</x:v>
      </x:c>
    </x:row>
    <x:row r="7" ht="24" hidden="0" customHeight="1">
      <x:c r="A7" s="33" t="str">
        <x:v>品牌社群影音編輯</x:v>
      </x:c>
      <x:c r="B7" s="33" t="str">
        <x:v>CREATIVE_CONTENT</x:v>
      </x:c>
      <x:c r="C7" s="33" t="str">
        <x:v>SALES_OPERATIONS</x:v>
      </x:c>
      <x:c r="D7" s="33" t="str">
        <x:v>Mid IC</x:v>
      </x:c>
      <x:c r="E7" s="33" t="str">
        <x:v>Permanent+Onsite</x:v>
      </x:c>
      <x:c r="F7" s="33" t="str">
        <x:v>Portfolio+Public-content+Role</x:v>
      </x:c>
      <x:c r="G7" s="33" t="str">
        <x:v>PORTFOLIO_REQUIRED; SHIFT_OR_ATTENDANCE; MOTORCYCLE_BONUS</x:v>
      </x:c>
      <x:c r="H7" s="33" t="str">
        <x:v>3年以上、專科、短影音剪輯、基礎美編、英文中等；重機照加分</x:v>
      </x:c>
      <x:c r="I7" s="33" t="str">
        <x:v>IG/TikTok/YT/Vimeo/Behance→品牌署名→代理商/Agency團隊→影音活動/獎項→接案作品</x:v>
      </x:c>
      <x:c r="J7" s="33" t="str">
        <x:v>Handle+本人作品+品牌客戶+工具+地點+時間</x:v>
      </x:c>
      <x:c r="K7" s="33" t="str">
        <x:v>商務Email→個站/Portfolio→工作電話→Verified DM</x:v>
      </x:c>
      <x:c r="L7" s="33" t="str">
        <x:v>純職稱履歷不足；禁止把未署名作品歸本人</x:v>
      </x:c>
      <x:c r="M7" s="33" t="str">
        <x:v>作品無法歸屬即停；新作品/Handle/品牌Credit才重啟</x:v>
      </x:c>
      <x:c r="N7" s="33" t="str">
        <x:v>PASS</x:v>
      </x:c>
      <x:c r="O7" s="33" t="str">
        <x:v>https://step1ne.com/jobs/brand-social-video-editor-neihu/</x:v>
      </x:c>
    </x:row>
    <x:row r="8" ht="24" hidden="0" customHeight="1">
      <x:c r="A8" s="33" t="str">
        <x:v>診所護理師</x:v>
      </x:c>
      <x:c r="B8" s="33" t="str">
        <x:v>LICENSED_HEALTHCARE</x:v>
      </x:c>
      <x:c r="C8" s="33" t="str">
        <x:v>CERTIFIED_PROFESSIONAL</x:v>
      </x:c>
      <x:c r="D8" s="33" t="str">
        <x:v>Entry/Junior/Mixed</x:v>
      </x:c>
      <x:c r="E8" s="33" t="str">
        <x:v>Permanent+Onsite+Shift</x:v>
      </x:c>
      <x:c r="F8" s="33" t="str">
        <x:v>License+Clinical+Role</x:v>
      </x:c>
      <x:c r="G8" s="33" t="str">
        <x:v>LICENSE_REQUIRED; SHIFT_OR_ATTENDANCE; LOCATION</x:v>
      </x:c>
      <x:c r="H8" s="33" t="str">
        <x:v>依護理人員法須有護理人員證書並完成執業登記/執照；另確認內湖到班、排班與診所臨床工作</x:v>
      </x:c>
      <x:c r="I8" s="33" t="str">
        <x:v>合法公開執照/公協會→診所醫院團隊→繼續教育→護理校友→醫療專業社群</x:v>
      </x:c>
      <x:c r="J8" s="33" t="str">
        <x:v>執照/職類+雇主+臨床項目+地點+時間</x:v>
      </x:c>
      <x:c r="K8" s="33" t="str">
        <x:v>本人公開專業Email/電話→專業社群→診所/協會轉介</x:v>
      </x:c>
      <x:c r="L8" s="33" t="str">
        <x:v>GitHub/創作者平台低效；禁止病歷、內部名冊、非公開執照資料</x:v>
      </x:c>
      <x:c r="M8" s="33" t="str">
        <x:v>無執照/臨床/地點錨點即停；新現職/進修/執業資訊才重啟</x:v>
      </x:c>
      <x:c r="N8" s="33" t="str">
        <x:v>PASS</x:v>
      </x:c>
      <x:c r="O8" s="33" t="str">
        <x:v>https://step1ne.com/jobs/clinic-nurse-neihu/ ; https://law.moj.gov.tw/LawClass/LawAll.aspx?pcode=L0020166</x:v>
      </x:c>
    </x:row>
  </x:sheetData>
  <x:mergeCells>
    <x:mergeCell ref="A1:O1"/>
    <x:mergeCell ref="A2:O2"/>
  </x:mergeCells>
  <x:conditionalFormatting sqref="N4:N8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b918d874fb241c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52" hidden="0" customWidth="1"/>
    <x:col min="5" max="5" width="42" hidden="0" customWidth="1"/>
    <x:col min="6" max="6" width="52" hidden="0" customWidth="1"/>
  </x:cols>
  <x:sheetData>
    <x:row r="1" ht="15" hidden="0" customHeight="1">
      <x:c r="A1" s="38" t="str">
        <x:v>Router Decision Rules｜本地AI不可跳過的判斷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Rule ID</x:v>
      </x:c>
      <x:c r="B3" s="39" t="str">
        <x:v>自動判斷</x:v>
      </x:c>
      <x:c r="C3" s="39" t="str">
        <x:v>輸出</x:v>
      </x:c>
      <x:c r="D3" s="39" t="str">
        <x:v>禁止行為</x:v>
      </x:c>
      <x:c r="E3" s="39" t="str">
        <x:v>失敗代碼</x:v>
      </x:c>
      <x:c r="F3" s="39" t="str">
        <x:v>人工確認</x:v>
      </x:c>
    </x:row>
    <x:row r="4" ht="15" hidden="0" customHeight="1">
      <x:c r="A4" s="33" t="str">
        <x:v>R-01</x:v>
      </x:c>
      <x:c r="B4" s="33" t="str">
        <x:v>未完成Primary Route</x:v>
      </x:c>
      <x:c r="C4" s="33" t="str">
        <x:v>停止找人</x:v>
      </x:c>
      <x:c r="D4" s="33" t="str">
        <x:v>複製上一職缺搜尋平台</x:v>
      </x:c>
      <x:c r="E4" s="33" t="str">
        <x:v>ROUTE_NOT_ASSIGNED</x:v>
      </x:c>
      <x:c r="F4" s="33" t="str">
        <x:v>確認JD是否完整</x:v>
      </x:c>
    </x:row>
    <x:row r="5" ht="15" hidden="0" customHeight="1">
      <x:c r="A5" s="33" t="str">
        <x:v>R-02</x:v>
      </x:c>
      <x:c r="B5" s="33" t="str">
        <x:v>另一生態能力證據≥約30%</x:v>
      </x:c>
      <x:c r="C5" s="33" t="str">
        <x:v>加入Secondary</x:v>
      </x:c>
      <x:c r="D5" s="33" t="str">
        <x:v>用職稱字面亂加分類</x:v>
      </x:c>
      <x:c r="E5" s="33" t="str">
        <x:v>SECONDARY_ROUTE_UNJUSTIFIED</x:v>
      </x:c>
      <x:c r="F5" s="33" t="str">
        <x:v>確認核心工作成果</x:v>
      </x:c>
    </x:row>
    <x:row r="6" ht="15" hidden="0" customHeight="1">
      <x:c r="A6" s="33" t="str">
        <x:v>R-03</x:v>
      </x:c>
      <x:c r="B6" s="33" t="str">
        <x:v>職稱含主管/特助</x:v>
      </x:c>
      <x:c r="C6" s="33" t="str">
        <x:v>依管理責任與薪資判職級</x:v>
      </x:c>
      <x:c r="D6" s="33" t="str">
        <x:v>把所有主管字樣視為管理職</x:v>
      </x:c>
      <x:c r="E6" s="33" t="str">
        <x:v>SENIORITY_TITLE_BIAS</x:v>
      </x:c>
      <x:c r="F6" s="33" t="str">
        <x:v>確認是否帶人/決策</x:v>
      </x:c>
    </x:row>
    <x:row r="7" ht="15" hidden="0" customHeight="1">
      <x:c r="A7" s="33" t="str">
        <x:v>R-04</x:v>
      </x:c>
      <x:c r="B7" s="33" t="str">
        <x:v>醫療/技師等受管制角色</x:v>
      </x:c>
      <x:c r="C7" s="33" t="str">
        <x:v>加LICENSE_REQUIRED</x:v>
      </x:c>
      <x:c r="D7" s="33" t="str">
        <x:v>只用社群自稱當證照</x:v>
      </x:c>
      <x:c r="E7" s="33" t="str">
        <x:v>LICENSE_NOT_VERIFIED</x:v>
      </x:c>
      <x:c r="F7" s="33" t="str">
        <x:v>確認執照種類/效期/管轄</x:v>
      </x:c>
    </x:row>
    <x:row r="8" ht="15" hidden="0" customHeight="1">
      <x:c r="A8" s="33" t="str">
        <x:v>R-05</x:v>
      </x:c>
      <x:c r="B8" s="33" t="str">
        <x:v>作品/公開內容是核心能力</x:v>
      </x:c>
      <x:c r="C8" s="33" t="str">
        <x:v>加PORTFOLIO或PUBLIC_PERSONA</x:v>
      </x:c>
      <x:c r="D8" s="33" t="str">
        <x:v>把高粉絲數當Job Fit</x:v>
      </x:c>
      <x:c r="E8" s="33" t="str">
        <x:v>PUBLICITY_SCORE_CONTAMINATION</x:v>
      </x:c>
      <x:c r="F8" s="33" t="str">
        <x:v>確認作品歸屬與實作角色</x:v>
      </x:c>
    </x:row>
    <x:row r="9" ht="15" hidden="0" customHeight="1">
      <x:c r="A9" s="33" t="str">
        <x:v>R-06</x:v>
      </x:c>
      <x:c r="B9" s="33" t="str">
        <x:v>海外/語言/保密</x:v>
      </x:c>
      <x:c r="C9" s="33" t="str">
        <x:v>加Relocation/Language/Confidential overlays</x:v>
      </x:c>
      <x:c r="D9" s="33" t="str">
        <x:v>由姓名國籍推定語言/工作權</x:v>
      </x:c>
      <x:c r="E9" s="33" t="str">
        <x:v>OVERLAY_NOT_CONFIRMED</x:v>
      </x:c>
      <x:c r="F9" s="33" t="str">
        <x:v>真人確認語言/簽證/搬遷/NDA</x:v>
      </x:c>
    </x:row>
    <x:row r="10" ht="15" hidden="0" customHeight="1">
      <x:c r="A10" s="33" t="str">
        <x:v>R-07</x:v>
      </x:c>
      <x:c r="B10" s="33" t="str">
        <x:v>完成Route-specific paths且無新錨點</x:v>
      </x:c>
      <x:c r="C10" s="33" t="str">
        <x:v>標記ROUTE_PATH_EXHAUSTED</x:v>
      </x:c>
      <x:c r="D10" s="33" t="str">
        <x:v>對同批人重複等價搜尋</x:v>
      </x:c>
      <x:c r="E10" s="33" t="str">
        <x:v>REPEATED_LOW_YIELD_SEARCH</x:v>
      </x:c>
      <x:c r="F10" s="33" t="str">
        <x:v>新公司/作品/Username等才重啟</x:v>
      </x:c>
    </x:row>
    <x:row r="11" ht="15" hidden="0" customHeight="1">
      <x:c r="A11" s="33" t="str">
        <x:v>R-08</x:v>
      </x:c>
      <x:c r="B11" s="33" t="str">
        <x:v>Qualified/Contactable不足</x:v>
      </x:c>
      <x:c r="C11" s="33" t="str">
        <x:v>回Source Expansion</x:v>
      </x:c>
      <x:c r="D11" s="33" t="str">
        <x:v>用查得到Email但不合適的人補量</x:v>
      </x:c>
      <x:c r="E11" s="33" t="str">
        <x:v>FAILED_CONTACT_RICH_BUT_JOB_MISMATCH</x:v>
      </x:c>
      <x:c r="F11" s="33" t="str">
        <x:v>調整來源量與Gate，不降標</x:v>
      </x:c>
    </x:row>
    <x:row r="12" ht="15" hidden="0" customHeight="1">
      <x:c r="A12" s="33" t="str">
        <x:v>R-09</x:v>
      </x:c>
      <x:c r="B12" s="33" t="str">
        <x:v>任何聯絡成果</x:v>
      </x:c>
      <x:c r="C12" s="33" t="str">
        <x:v>URL+身份錨點+公開性</x:v>
      </x:c>
      <x:c r="D12" s="33" t="str">
        <x:v>猜Gmail/電話/帳號或用外洩資料</x:v>
      </x:c>
      <x:c r="E12" s="33" t="str">
        <x:v>CONTACT_EVIDENCE_MISSING</x:v>
      </x:c>
      <x:c r="F12" s="33" t="str">
        <x:v>人工複查高價值聯絡方式</x:v>
      </x:c>
    </x:row>
    <x:row r="13" ht="15" hidden="0" customHeight="1">
      <x:c r="A13" s="33" t="str">
        <x:v>R-10</x:v>
      </x:c>
      <x:c r="B13" s="33" t="str">
        <x:v>每輪結束</x:v>
      </x:c>
      <x:c r="C13" s="33" t="str">
        <x:v>更新Source Score與Run Log</x:v>
      </x:c>
      <x:c r="D13" s="33" t="str">
        <x:v>只記成功不記查無/誤認</x:v>
      </x:c>
      <x:c r="E13" s="33" t="str">
        <x:v>AUDIT_TRAIL_INCOMPLETE</x:v>
      </x:c>
      <x:c r="F13" s="33" t="str">
        <x:v>抽查搜尋成本與錯誤率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89c9b12f627467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42" hidden="0" customWidth="1"/>
    <x:col min="5" max="5" width="30" hidden="0" customWidth="1"/>
    <x:col min="6" max="6" width="30" hidden="0" customWidth="1"/>
    <x:col min="7" max="7" width="25" hidden="0" customWidth="1"/>
    <x:col min="8" max="8" width="22" hidden="0" customWidth="1"/>
  </x:cols>
  <x:sheetData>
    <x:row r="1" ht="34" customHeight="1">
      <x:c r="A1" s="42" t="str">
        <x:v>V22 Daily Talent Agent OS｜Archetype-locked + Qualified + Email-ready</x:v>
      </x:c>
      <x:c r="B1" s="42"/>
      <x:c r="C1" s="42"/>
      <x:c r="D1" s="42"/>
      <x:c r="E1" s="42"/>
      <x:c r="F1" s="42"/>
      <x:c r="G1" s="42"/>
      <x:c r="H1" s="42"/>
    </x:row>
    <x:row r="2" ht="38" customHeight="1">
      <x:c r="A2" s="45" t="str">
        <x:v>先讀取昨日記憶再執行；只把新增身分、新證據、新Qualified、新本人聯絡入口與新Client-ready計為產出。搜尋動作本身不算產出。</x:v>
      </x:c>
      <x:c r="B2" s="45"/>
      <x:c r="C2" s="45"/>
      <x:c r="D2" s="45"/>
      <x:c r="E2" s="45"/>
      <x:c r="F2" s="45"/>
      <x:c r="G2" s="45"/>
      <x:c r="H2" s="45"/>
    </x:row>
    <x:row r="4" ht="26" customHeight="1">
      <x:c r="A4" s="47" t="str">
        <x:v>職缺設定（每個JD填一次）</x:v>
      </x:c>
      <x:c r="B4" s="47" t="str">
        <x:v>職缺設定（每個JD填一次）</x:v>
      </x:c>
      <x:c r="D4" s="47" t="str">
        <x:v>WIP與每日目標</x:v>
      </x:c>
      <x:c r="E4" s="47" t="str">
        <x:v>WIP與每日目標</x:v>
      </x:c>
      <x:c r="G4" s="47" t="str">
        <x:v>目前狀態（公式）</x:v>
      </x:c>
      <x:c r="H4" s="47" t="str">
        <x:v>目前狀態（公式）</x:v>
      </x:c>
    </x:row>
    <x:row r="5">
      <x:c r="A5" t="str">
        <x:v>Job ID</x:v>
      </x:c>
      <x:c r="B5" t="str"/>
      <x:c r="D5" t="str">
        <x:v>未複查Queue上限</x:v>
      </x:c>
      <x:c r="E5" t="n">
        <x:v>20</x:v>
      </x:c>
      <x:c r="G5" t="str">
        <x:v>記憶庫Unique</x:v>
      </x:c>
      <x:c r="H5" s="51" t="n">
        <x:f>COUNTIF('17_Candidate Memory'!$A$5:$A$204,"?*")</x:f>
        <x:v>0</x:v>
      </x:c>
    </x:row>
    <x:row r="6">
      <x:c r="A6" t="str">
        <x:v>JD URL</x:v>
      </x:c>
      <x:c r="B6" t="str"/>
      <x:c r="D6" t="str">
        <x:v>Qualified待聯絡上限</x:v>
      </x:c>
      <x:c r="E6" t="n">
        <x:v>10</x:v>
      </x:c>
      <x:c r="G6" t="str">
        <x:v>待處理Queue</x:v>
      </x:c>
      <x:c r="H6" s="51" t="n">
        <x:f>COUNTIF('20_Work Queues'!$F$5:$F$204,"PENDING")</x:f>
        <x:v>0</x:v>
      </x:c>
    </x:row>
    <x:row r="7">
      <x:c r="A7" t="str">
        <x:v>Primary Route</x:v>
      </x:c>
      <x:c r="B7" t="str"/>
      <x:c r="D7" t="str">
        <x:v>每日New Unique目標</x:v>
      </x:c>
      <x:c r="E7" t="str">
        <x:v>10–20</x:v>
      </x:c>
      <x:c r="G7" t="str">
        <x:v>Qualified Queue</x:v>
      </x:c>
      <x:c r="H7" s="51" t="n">
        <x:f>COUNTIFS('20_Work Queues'!$B$5:$B$204,"QUALIFIED_QUEUE",'20_Work Queues'!$F$5:$F$204,"PENDING")</x:f>
        <x:v>0</x:v>
      </x:c>
    </x:row>
    <x:row r="8">
      <x:c r="A8" t="str">
        <x:v>Target Level</x:v>
      </x:c>
      <x:c r="B8" t="str"/>
      <x:c r="D8" t="str">
        <x:v>每日Qualified複查</x:v>
      </x:c>
      <x:c r="E8" t="str">
        <x:v>5–10</x:v>
      </x:c>
      <x:c r="G8" t="str">
        <x:v>Contact Queue</x:v>
      </x:c>
      <x:c r="H8" s="51" t="n">
        <x:f>COUNTIFS('20_Work Queues'!$B$5:$B$204,"CONTACT_QUEUE",'20_Work Queues'!$F$5:$F$204,"PENDING")</x:f>
        <x:v>0</x:v>
      </x:c>
    </x:row>
    <x:row r="9">
      <x:c r="A9" t="str">
        <x:v>Location / Mode</x:v>
      </x:c>
      <x:c r="B9" t="str"/>
      <x:c r="D9" t="str">
        <x:v>每日Contact Enrichment</x:v>
      </x:c>
      <x:c r="E9" t="str">
        <x:v>2–5</x:v>
      </x:c>
      <x:c r="G9" t="str">
        <x:v>Client-ready</x:v>
      </x:c>
      <x:c r="H9" s="51" t="n">
        <x:f>COUNTIF('17_Candidate Memory'!$J$5:$J$204,"CLIENT_READY")</x:f>
        <x:v>0</x:v>
      </x:c>
    </x:row>
    <x:row r="10">
      <x:c r="A10" t="str">
        <x:v>Agent Mode</x:v>
      </x:c>
      <x:c r="B10" t="str">
        <x:v>INCREMENTAL_DAILY_AGENT</x:v>
      </x:c>
      <x:c r="D10" t="str">
        <x:v>每週新高產量錨點</x:v>
      </x:c>
      <x:c r="E10" t="n">
        <x:v>1</x:v>
      </x:c>
      <x:c r="G10" t="str">
        <x:v>累計New Qualified</x:v>
      </x:c>
      <x:c r="H10" s="51" t="n">
        <x:f>SUM('19_Daily Run Log'!$J$5:$J$104)</x:f>
        <x:v>0</x:v>
      </x:c>
    </x:row>
    <x:row r="11">
      <x:c r="A11" t="str">
        <x:v>Timezone</x:v>
      </x:c>
      <x:c r="B11" t="str">
        <x:v>Asia/Taipei</x:v>
      </x:c>
      <x:c r="D11" t="str">
        <x:v>來源重複率切換線</x:v>
      </x:c>
      <x:c r="E11" s="48" t="n">
        <x:v>0.7</x:v>
      </x:c>
      <x:c r="G11" t="str">
        <x:v>累計New Person Contact</x:v>
      </x:c>
      <x:c r="H11" s="51" t="n">
        <x:f>SUM('19_Daily Run Log'!$O$5:$O$104)</x:f>
        <x:v>0</x:v>
      </x:c>
    </x:row>
    <x:row r="12">
      <x:c r="D12" t="str">
        <x:v>每日Verified Email目標</x:v>
      </x:c>
      <x:c r="E12" t="str">
        <x:v>3–5</x:v>
      </x:c>
      <x:c r="G12" t="str">
        <x:v>Email-ready</x:v>
      </x:c>
      <x:c r="H12" s="117" t="n">
        <x:f>COUNTIF('21_Email Ready Pipeline'!$K$5:$K$204,"QUALIFIED_EMAIL_READY")+COUNTIF('21_Email Ready Pipeline'!$K$5:$K$204,"QUALIFIED_DUAL_CHANNEL_READY")</x:f>
        <x:v>0</x:v>
      </x:c>
    </x:row>
    <x:row r="13">
      <x:c r="D13" t="str">
        <x:v>每日雙本人管道目標</x:v>
      </x:c>
      <x:c r="E13" t="n">
        <x:v>2</x:v>
      </x:c>
      <x:c r="G13" t="str">
        <x:v>LinkedIn Manual Queue</x:v>
      </x:c>
      <x:c r="H13" s="117" t="n">
        <x:f>COUNTIF('22_LinkedIn Manual Queue'!$I$5:$I$204,"PENDING")+COUNTIF('22_LinkedIn Manual Queue'!$I$5:$I$204,"IN_PROGRESS")</x:f>
        <x:v>0</x:v>
      </x:c>
    </x:row>
    <x:row r="14" ht="26" customHeight="1">
      <x:c r="A14" s="47" t="str">
        <x:v>每日自動決策順序</x:v>
      </x:c>
      <x:c r="B14" s="47" t="str">
        <x:v>每日自動決策順序</x:v>
      </x:c>
      <x:c r="C14" s="47" t="str">
        <x:v>每日自動決策順序</x:v>
      </x:c>
      <x:c r="D14" s="47" t="str">
        <x:v>每日自動決策順序</x:v>
      </x:c>
      <x:c r="E14" s="47" t="str">
        <x:v>每日自動決策順序</x:v>
      </x:c>
      <x:c r="F14" s="47" t="str">
        <x:v>每日自動決策順序</x:v>
      </x:c>
      <x:c r="G14" s="47" t="str">
        <x:v>每日自動決策順序</x:v>
      </x:c>
      <x:c r="H14" s="47" t="str">
        <x:v>每日自動決策順序</x:v>
      </x:c>
    </x:row>
    <x:row r="15" ht="30" customHeight="1">
      <x:c r="A15" s="58" t="str">
        <x:v>順位</x:v>
      </x:c>
      <x:c r="B15" s="59" t="str">
        <x:v>檢查</x:v>
      </x:c>
      <x:c r="C15" s="59" t="str">
        <x:v>觸發條件</x:v>
      </x:c>
      <x:c r="D15" s="59" t="str">
        <x:v>Agent動作</x:v>
      </x:c>
      <x:c r="E15" s="59" t="str">
        <x:v>完成後去向</x:v>
      </x:c>
      <x:c r="F15" s="59" t="str">
        <x:v>禁止事項</x:v>
      </x:c>
      <x:c r="G15" s="59" t="str">
        <x:v>衡量產出</x:v>
      </x:c>
      <x:c r="H15" s="60" t="str">
        <x:v>狀態</x:v>
      </x:c>
    </x:row>
    <x:row r="16">
      <x:c r="A16" t="n">
        <x:v>1</x:v>
      </x:c>
      <x:c r="B16" t="str">
        <x:v>身分衝突</x:v>
      </x:c>
      <x:c r="C16" t="str">
        <x:v>高優先人選身分不完整</x:v>
      </x:c>
      <x:c r="D16" t="str">
        <x:v>補足至少2個一致錨點</x:v>
      </x:c>
      <x:c r="E16" t="str">
        <x:v>Qualified Queue</x:v>
      </x:c>
      <x:c r="F16" t="str">
        <x:v>不可只因同名合併</x:v>
      </x:c>
      <x:c r="G16" t="str">
        <x:v>Resolved Identity</x:v>
      </x:c>
      <x:c r="H16" t="str">
        <x:v>ACTIVE</x:v>
      </x:c>
    </x:row>
    <x:row r="17">
      <x:c r="A17" t="n">
        <x:v>2</x:v>
      </x:c>
      <x:c r="B17" t="str">
        <x:v>Qualified Gate</x:v>
      </x:c>
      <x:c r="C17" t="str">
        <x:v>P1/P2待複查</x:v>
      </x:c>
      <x:c r="D17" t="str">
        <x:v>現職/實作/職級/地點/薪資逐項查</x:v>
      </x:c>
      <x:c r="E17" t="str">
        <x:v>分類或Contact Queue</x:v>
      </x:c>
      <x:c r="F17" t="str">
        <x:v>未通過不可深挖聯絡</x:v>
      </x:c>
      <x:c r="G17" t="str">
        <x:v>New Qualified</x:v>
      </x:c>
      <x:c r="H17" t="str">
        <x:v>ACTIVE</x:v>
      </x:c>
    </x:row>
    <x:row r="18">
      <x:c r="A18" t="n">
        <x:v>3</x:v>
      </x:c>
      <x:c r="B18" t="str">
        <x:v>Contact Enrichment</x:v>
      </x:c>
      <x:c r="C18" t="str">
        <x:v>Qualified等待聯絡</x:v>
      </x:c>
      <x:c r="D18" t="str">
        <x:v>官方頁＋Cake＋LinkedIn→Email驗證</x:v>
      </x:c>
      <x:c r="E18" t="str">
        <x:v>Email-ready／Manual Queue</x:v>
      </x:c>
      <x:c r="F18" t="str">
        <x:v>不得猜Email或電話</x:v>
      </x:c>
      <x:c r="G18" t="str">
        <x:v>New Verified Email</x:v>
      </x:c>
      <x:c r="H18" t="str">
        <x:v>ACTIVE</x:v>
      </x:c>
    </x:row>
    <x:row r="19">
      <x:c r="A19" t="n">
        <x:v>4</x:v>
      </x:c>
      <x:c r="B19" t="str">
        <x:v>新錨點開發</x:v>
      </x:c>
      <x:c r="C19" t="str">
        <x:v>下游Backlog低於WIP</x:v>
      </x:c>
      <x:c r="D19" t="str">
        <x:v>批量來源→去重→Raw Lead</x:v>
      </x:c>
      <x:c r="E19" t="str">
        <x:v>Identity Queue</x:v>
      </x:c>
      <x:c r="F19" t="str">
        <x:v>不可把舊人算新增</x:v>
      </x:c>
      <x:c r="G19" t="str">
        <x:v>New Unique</x:v>
      </x:c>
      <x:c r="H19" t="str">
        <x:v>ACTIVE</x:v>
      </x:c>
    </x:row>
    <x:row r="22" ht="26" customHeight="1">
      <x:c r="A22" s="47" t="str">
        <x:v>每日排程提示詞（交給本地端Agent／排程器）</x:v>
      </x:c>
      <x:c r="B22" s="47" t="str">
        <x:v>每日排程提示詞（交給本地端Agent／排程器）</x:v>
      </x:c>
      <x:c r="C22" s="47" t="str">
        <x:v>每日排程提示詞（交給本地端Agent／排程器）</x:v>
      </x:c>
      <x:c r="D22" s="47" t="str">
        <x:v>每日排程提示詞（交給本地端Agent／排程器）</x:v>
      </x:c>
      <x:c r="E22" s="47" t="str">
        <x:v>每日排程提示詞（交給本地端Agent／排程器）</x:v>
      </x:c>
      <x:c r="F22" s="47" t="str">
        <x:v>每日排程提示詞（交給本地端Agent／排程器）</x:v>
      </x:c>
      <x:c r="G22" s="47" t="str">
        <x:v>每日排程提示詞（交給本地端Agent／排程器）</x:v>
      </x:c>
      <x:c r="H22" s="47" t="str">
        <x:v>每日排程提示詞（交給本地端Agent／排程器）</x:v>
      </x:c>
    </x:row>
    <x:row r="23" ht="28" customHeight="1">
      <x:c r="A23" s="64" t="str">
        <x:v>新JD：先讀取Archetype Calibration，最多補問3個高影響問題；建立ARCHETYPE_LOCKED後只取5位樣本，至少4位MATCH才可建立正式Source Map與Contact Enrichment。既有JD：確認Calibration已PASS才讀Candidate/Source Memory並做每日增量。若發現整批人才生態錯誤，標FAILED_ROUTE_FALSE_POSITIVE、可用人數歸零並回到Calibration。</x:v>
      </x:c>
      <x:c r="B23" s="64"/>
      <x:c r="C23" s="64"/>
      <x:c r="D23" s="64"/>
      <x:c r="E23" s="64"/>
      <x:c r="F23" s="64"/>
      <x:c r="G23" s="64"/>
      <x:c r="H23" s="64"/>
    </x:row>
    <x:row r="24" ht="28" customHeight="1">
      <x:c r="A24" s="64"/>
      <x:c r="B24" s="64"/>
      <x:c r="C24" s="64"/>
      <x:c r="D24" s="64"/>
      <x:c r="E24" s="64"/>
      <x:c r="F24" s="64"/>
      <x:c r="G24" s="64"/>
      <x:c r="H24" s="64"/>
    </x:row>
    <x:row r="25" ht="28" customHeight="1">
      <x:c r="A25" s="64"/>
      <x:c r="B25" s="64"/>
      <x:c r="C25" s="64"/>
      <x:c r="D25" s="64"/>
      <x:c r="E25" s="64"/>
      <x:c r="F25" s="64"/>
      <x:c r="G25" s="64"/>
      <x:c r="H25" s="64"/>
    </x:row>
    <x:row r="26" ht="28" customHeight="1">
      <x:c r="A26" s="64"/>
      <x:c r="B26" s="64"/>
      <x:c r="C26" s="64"/>
      <x:c r="D26" s="64"/>
      <x:c r="E26" s="64"/>
      <x:c r="F26" s="64"/>
      <x:c r="G26" s="64"/>
      <x:c r="H26" s="64"/>
    </x:row>
    <x:row r="27" ht="28" customHeight="1">
      <x:c r="A27" s="64"/>
      <x:c r="B27" s="64"/>
      <x:c r="C27" s="64"/>
      <x:c r="D27" s="64"/>
      <x:c r="E27" s="64"/>
      <x:c r="F27" s="64"/>
      <x:c r="G27" s="64"/>
      <x:c r="H27" s="64"/>
    </x:row>
  </x:sheetData>
  <x:mergeCells>
    <x:mergeCell ref="A1:H1"/>
    <x:mergeCell ref="A2:H2"/>
    <x:mergeCell ref="A4:B4"/>
    <x:mergeCell ref="D4:E4"/>
    <x:mergeCell ref="G4:H4"/>
    <x:mergeCell ref="A14:H14"/>
    <x:mergeCell ref="A22:H22"/>
    <x:mergeCell ref="A23:H2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38" hidden="0" customWidth="1"/>
    <x:col min="5" max="5" width="56" hidden="0" customWidth="1"/>
    <x:col min="6" max="6" width="14" hidden="0" customWidth="1"/>
    <x:col min="7" max="7" width="14" hidden="0" customWidth="1"/>
    <x:col min="8" max="8" width="15" hidden="0" customWidth="1"/>
    <x:col min="9" max="9" width="30" hidden="0" customWidth="1"/>
    <x:col min="10" max="10" width="34" hidden="0" customWidth="1"/>
    <x:col min="11" max="11" width="34" hidden="0" customWidth="1"/>
    <x:col min="12" max="12" width="20" hidden="0" customWidth="1"/>
    <x:col min="13" max="13" width="58" hidden="0" customWidth="1"/>
    <x:col min="14" max="14" width="44" hidden="0" customWidth="1"/>
  </x:cols>
  <x:sheetData>
    <x:row r="1" ht="34" customHeight="1">
      <x:c r="A1" s="42" t="str">
        <x:v>Candidate Memory Ledger｜跨日去重與狀態記憶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4" customHeight="1">
      <x:c r="A2" s="66" t="str">
        <x:v>空白持久化模板。每位Unique Identity只建立一次；後續只能補證據或更新狀態，不能重新計為New Unique。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</x:row>
    <x:row r="4" ht="30" customHeight="1">
      <x:c r="A4" s="75" t="str">
        <x:v>Candidate ID</x:v>
      </x:c>
      <x:c r="B4" s="76" t="str">
        <x:v>Normalized Name</x:v>
      </x:c>
      <x:c r="C4" s="76" t="str">
        <x:v>Display Name</x:v>
      </x:c>
      <x:c r="D4" s="76" t="str">
        <x:v>Organization</x:v>
      </x:c>
      <x:c r="E4" s="76" t="str">
        <x:v>Identity Anchors</x:v>
      </x:c>
      <x:c r="F4" s="76" t="str">
        <x:v>First Seen</x:v>
      </x:c>
      <x:c r="G4" s="76" t="str">
        <x:v>Last Seen</x:v>
      </x:c>
      <x:c r="H4" s="76" t="str">
        <x:v>First Batch</x:v>
      </x:c>
      <x:c r="I4" s="76" t="str">
        <x:v>Identity Status</x:v>
      </x:c>
      <x:c r="J4" s="76" t="str">
        <x:v>Qualified Status</x:v>
      </x:c>
      <x:c r="K4" s="76" t="str">
        <x:v>Contact Status</x:v>
      </x:c>
      <x:c r="L4" s="76" t="str">
        <x:v>Do Not Recreate</x:v>
      </x:c>
      <x:c r="M4" s="76" t="str">
        <x:v>Next Eligible Action</x:v>
      </x:c>
      <x:c r="N4" s="77" t="str">
        <x:v>Notes</x:v>
      </x:c>
    </x:row>
    <x:row r="5">
      <x:c r="F5" s="78"/>
      <x:c r="G5" s="78"/>
    </x:row>
    <x:row r="6">
      <x:c r="F6" s="78"/>
      <x:c r="G6" s="78"/>
    </x:row>
    <x:row r="7">
      <x:c r="F7" s="78"/>
      <x:c r="G7" s="78"/>
    </x:row>
    <x:row r="8">
      <x:c r="F8" s="78"/>
      <x:c r="G8" s="78"/>
    </x:row>
    <x:row r="9">
      <x:c r="F9" s="78"/>
      <x:c r="G9" s="78"/>
    </x:row>
    <x:row r="10">
      <x:c r="F10" s="78"/>
      <x:c r="G10" s="78"/>
    </x:row>
    <x:row r="11">
      <x:c r="F11" s="78"/>
      <x:c r="G11" s="78"/>
    </x:row>
    <x:row r="12">
      <x:c r="F12" s="78"/>
      <x:c r="G12" s="78"/>
    </x:row>
    <x:row r="13">
      <x:c r="F13" s="78"/>
      <x:c r="G13" s="78"/>
    </x:row>
    <x:row r="14">
      <x:c r="F14" s="78"/>
      <x:c r="G14" s="78"/>
    </x:row>
    <x:row r="15">
      <x:c r="F15" s="78"/>
      <x:c r="G15" s="78"/>
    </x:row>
    <x:row r="16">
      <x:c r="F16" s="78"/>
      <x:c r="G16" s="78"/>
    </x:row>
    <x:row r="17">
      <x:c r="F17" s="78"/>
      <x:c r="G17" s="78"/>
    </x:row>
    <x:row r="18">
      <x:c r="F18" s="78"/>
      <x:c r="G18" s="78"/>
    </x:row>
    <x:row r="19">
      <x:c r="F19" s="78"/>
      <x:c r="G19" s="78"/>
    </x:row>
    <x:row r="20">
      <x:c r="F20" s="78"/>
      <x:c r="G20" s="78"/>
    </x:row>
    <x:row r="21">
      <x:c r="F21" s="78"/>
      <x:c r="G21" s="78"/>
    </x:row>
    <x:row r="22">
      <x:c r="F22" s="78"/>
      <x:c r="G22" s="78"/>
    </x:row>
    <x:row r="23">
      <x:c r="F23" s="78"/>
      <x:c r="G23" s="78"/>
    </x:row>
    <x:row r="24">
      <x:c r="F24" s="78"/>
      <x:c r="G24" s="78"/>
    </x:row>
    <x:row r="25">
      <x:c r="F25" s="78"/>
      <x:c r="G25" s="78"/>
    </x:row>
    <x:row r="26">
      <x:c r="F26" s="78"/>
      <x:c r="G26" s="78"/>
    </x:row>
    <x:row r="27">
      <x:c r="F27" s="78"/>
      <x:c r="G27" s="78"/>
    </x:row>
    <x:row r="28">
      <x:c r="F28" s="78"/>
      <x:c r="G28" s="78"/>
    </x:row>
    <x:row r="29">
      <x:c r="F29" s="78"/>
      <x:c r="G29" s="78"/>
    </x:row>
    <x:row r="30">
      <x:c r="F30" s="78"/>
      <x:c r="G30" s="78"/>
    </x:row>
    <x:row r="31">
      <x:c r="F31" s="78"/>
      <x:c r="G31" s="78"/>
    </x:row>
    <x:row r="32">
      <x:c r="F32" s="78"/>
      <x:c r="G32" s="78"/>
    </x:row>
    <x:row r="33">
      <x:c r="F33" s="78"/>
      <x:c r="G33" s="78"/>
    </x:row>
    <x:row r="34">
      <x:c r="F34" s="78"/>
      <x:c r="G34" s="78"/>
    </x:row>
    <x:row r="35">
      <x:c r="F35" s="78"/>
      <x:c r="G35" s="78"/>
    </x:row>
    <x:row r="36">
      <x:c r="F36" s="78"/>
      <x:c r="G36" s="78"/>
    </x:row>
    <x:row r="37">
      <x:c r="F37" s="78"/>
      <x:c r="G37" s="78"/>
    </x:row>
    <x:row r="38">
      <x:c r="F38" s="78"/>
      <x:c r="G38" s="78"/>
    </x:row>
    <x:row r="39">
      <x:c r="F39" s="78"/>
      <x:c r="G39" s="78"/>
    </x:row>
    <x:row r="40">
      <x:c r="F40" s="78"/>
      <x:c r="G40" s="78"/>
    </x:row>
    <x:row r="41">
      <x:c r="F41" s="78"/>
      <x:c r="G41" s="78"/>
    </x:row>
    <x:row r="42">
      <x:c r="F42" s="78"/>
      <x:c r="G42" s="78"/>
    </x:row>
    <x:row r="43">
      <x:c r="F43" s="78"/>
      <x:c r="G43" s="78"/>
    </x:row>
    <x:row r="44">
      <x:c r="F44" s="78"/>
      <x:c r="G44" s="78"/>
    </x:row>
    <x:row r="45">
      <x:c r="F45" s="78"/>
      <x:c r="G45" s="78"/>
    </x:row>
    <x:row r="46">
      <x:c r="F46" s="78"/>
      <x:c r="G46" s="78"/>
    </x:row>
    <x:row r="47">
      <x:c r="F47" s="78"/>
      <x:c r="G47" s="78"/>
    </x:row>
    <x:row r="48">
      <x:c r="F48" s="78"/>
      <x:c r="G48" s="78"/>
    </x:row>
    <x:row r="49">
      <x:c r="F49" s="78"/>
      <x:c r="G49" s="78"/>
    </x:row>
    <x:row r="50">
      <x:c r="F50" s="78"/>
      <x:c r="G50" s="78"/>
    </x:row>
    <x:row r="51">
      <x:c r="F51" s="78"/>
      <x:c r="G51" s="78"/>
    </x:row>
    <x:row r="52">
      <x:c r="F52" s="78"/>
      <x:c r="G52" s="78"/>
    </x:row>
    <x:row r="53">
      <x:c r="F53" s="78"/>
      <x:c r="G53" s="78"/>
    </x:row>
    <x:row r="54">
      <x:c r="F54" s="78"/>
      <x:c r="G54" s="78"/>
    </x:row>
    <x:row r="55">
      <x:c r="F55" s="78"/>
      <x:c r="G55" s="78"/>
    </x:row>
    <x:row r="56">
      <x:c r="F56" s="78"/>
      <x:c r="G56" s="78"/>
    </x:row>
    <x:row r="57">
      <x:c r="F57" s="78"/>
      <x:c r="G57" s="78"/>
    </x:row>
    <x:row r="58">
      <x:c r="F58" s="78"/>
      <x:c r="G58" s="78"/>
    </x:row>
    <x:row r="59">
      <x:c r="F59" s="78"/>
      <x:c r="G59" s="78"/>
    </x:row>
    <x:row r="60">
      <x:c r="F60" s="78"/>
      <x:c r="G60" s="78"/>
    </x:row>
    <x:row r="61">
      <x:c r="F61" s="78"/>
      <x:c r="G61" s="78"/>
    </x:row>
    <x:row r="62">
      <x:c r="F62" s="78"/>
      <x:c r="G62" s="78"/>
    </x:row>
    <x:row r="63">
      <x:c r="F63" s="78"/>
      <x:c r="G63" s="78"/>
    </x:row>
    <x:row r="64">
      <x:c r="F64" s="78"/>
      <x:c r="G64" s="78"/>
    </x:row>
    <x:row r="65">
      <x:c r="F65" s="78"/>
      <x:c r="G65" s="78"/>
    </x:row>
    <x:row r="66">
      <x:c r="F66" s="78"/>
      <x:c r="G66" s="78"/>
    </x:row>
    <x:row r="67">
      <x:c r="F67" s="78"/>
      <x:c r="G67" s="78"/>
    </x:row>
    <x:row r="68">
      <x:c r="F68" s="78"/>
      <x:c r="G68" s="78"/>
    </x:row>
    <x:row r="69">
      <x:c r="F69" s="78"/>
      <x:c r="G69" s="78"/>
    </x:row>
    <x:row r="70">
      <x:c r="F70" s="78"/>
      <x:c r="G70" s="78"/>
    </x:row>
    <x:row r="71">
      <x:c r="F71" s="78"/>
      <x:c r="G71" s="78"/>
    </x:row>
    <x:row r="72">
      <x:c r="F72" s="78"/>
      <x:c r="G72" s="78"/>
    </x:row>
    <x:row r="73">
      <x:c r="F73" s="78"/>
      <x:c r="G73" s="78"/>
    </x:row>
    <x:row r="74">
      <x:c r="F74" s="78"/>
      <x:c r="G74" s="78"/>
    </x:row>
    <x:row r="75">
      <x:c r="F75" s="78"/>
      <x:c r="G75" s="78"/>
    </x:row>
    <x:row r="76">
      <x:c r="F76" s="78"/>
      <x:c r="G76" s="78"/>
    </x:row>
    <x:row r="77">
      <x:c r="F77" s="78"/>
      <x:c r="G77" s="78"/>
    </x:row>
    <x:row r="78">
      <x:c r="F78" s="78"/>
      <x:c r="G78" s="78"/>
    </x:row>
    <x:row r="79">
      <x:c r="F79" s="78"/>
      <x:c r="G79" s="78"/>
    </x:row>
    <x:row r="80">
      <x:c r="F80" s="78"/>
      <x:c r="G80" s="78"/>
    </x:row>
    <x:row r="81">
      <x:c r="F81" s="78"/>
      <x:c r="G81" s="78"/>
    </x:row>
    <x:row r="82">
      <x:c r="F82" s="78"/>
      <x:c r="G82" s="78"/>
    </x:row>
    <x:row r="83">
      <x:c r="F83" s="78"/>
      <x:c r="G83" s="78"/>
    </x:row>
    <x:row r="84">
      <x:c r="F84" s="78"/>
      <x:c r="G84" s="78"/>
    </x:row>
    <x:row r="85">
      <x:c r="F85" s="78"/>
      <x:c r="G85" s="78"/>
    </x:row>
    <x:row r="86">
      <x:c r="F86" s="78"/>
      <x:c r="G86" s="78"/>
    </x:row>
    <x:row r="87">
      <x:c r="F87" s="78"/>
      <x:c r="G87" s="78"/>
    </x:row>
    <x:row r="88">
      <x:c r="F88" s="78"/>
      <x:c r="G88" s="78"/>
    </x:row>
    <x:row r="89">
      <x:c r="F89" s="78"/>
      <x:c r="G89" s="78"/>
    </x:row>
    <x:row r="90">
      <x:c r="F90" s="78"/>
      <x:c r="G90" s="78"/>
    </x:row>
    <x:row r="91">
      <x:c r="F91" s="78"/>
      <x:c r="G91" s="78"/>
    </x:row>
    <x:row r="92">
      <x:c r="F92" s="78"/>
      <x:c r="G92" s="78"/>
    </x:row>
    <x:row r="93">
      <x:c r="F93" s="78"/>
      <x:c r="G93" s="78"/>
    </x:row>
    <x:row r="94">
      <x:c r="F94" s="78"/>
      <x:c r="G94" s="78"/>
    </x:row>
    <x:row r="95">
      <x:c r="F95" s="78"/>
      <x:c r="G95" s="78"/>
    </x:row>
    <x:row r="96">
      <x:c r="F96" s="78"/>
      <x:c r="G96" s="78"/>
    </x:row>
    <x:row r="97">
      <x:c r="F97" s="78"/>
      <x:c r="G97" s="78"/>
    </x:row>
    <x:row r="98">
      <x:c r="F98" s="78"/>
      <x:c r="G98" s="78"/>
    </x:row>
    <x:row r="99">
      <x:c r="F99" s="78"/>
      <x:c r="G99" s="78"/>
    </x:row>
    <x:row r="100">
      <x:c r="F100" s="78"/>
      <x:c r="G100" s="78"/>
    </x:row>
    <x:row r="101">
      <x:c r="F101" s="78"/>
      <x:c r="G101" s="78"/>
    </x:row>
    <x:row r="102">
      <x:c r="F102" s="78"/>
      <x:c r="G102" s="78"/>
    </x:row>
    <x:row r="103">
      <x:c r="F103" s="78"/>
      <x:c r="G103" s="78"/>
    </x:row>
    <x:row r="104">
      <x:c r="F104" s="78"/>
      <x:c r="G104" s="78"/>
    </x:row>
    <x:row r="105">
      <x:c r="F105" s="78"/>
      <x:c r="G105" s="78"/>
    </x:row>
    <x:row r="106">
      <x:c r="F106" s="78"/>
      <x:c r="G106" s="78"/>
    </x:row>
    <x:row r="107">
      <x:c r="F107" s="78"/>
      <x:c r="G107" s="78"/>
    </x:row>
    <x:row r="108">
      <x:c r="F108" s="78"/>
      <x:c r="G108" s="78"/>
    </x:row>
    <x:row r="109">
      <x:c r="F109" s="78"/>
      <x:c r="G109" s="78"/>
    </x:row>
    <x:row r="110">
      <x:c r="F110" s="78"/>
      <x:c r="G110" s="78"/>
    </x:row>
    <x:row r="111">
      <x:c r="F111" s="78"/>
      <x:c r="G111" s="78"/>
    </x:row>
    <x:row r="112">
      <x:c r="F112" s="78"/>
      <x:c r="G112" s="78"/>
    </x:row>
    <x:row r="113">
      <x:c r="F113" s="78"/>
      <x:c r="G113" s="78"/>
    </x:row>
    <x:row r="114">
      <x:c r="F114" s="78"/>
      <x:c r="G114" s="78"/>
    </x:row>
    <x:row r="115">
      <x:c r="F115" s="78"/>
      <x:c r="G115" s="78"/>
    </x:row>
    <x:row r="116">
      <x:c r="F116" s="78"/>
      <x:c r="G116" s="78"/>
    </x:row>
    <x:row r="117">
      <x:c r="F117" s="78"/>
      <x:c r="G117" s="78"/>
    </x:row>
    <x:row r="118">
      <x:c r="F118" s="78"/>
      <x:c r="G118" s="78"/>
    </x:row>
    <x:row r="119">
      <x:c r="F119" s="78"/>
      <x:c r="G119" s="78"/>
    </x:row>
    <x:row r="120">
      <x:c r="F120" s="78"/>
      <x:c r="G120" s="78"/>
    </x:row>
    <x:row r="121">
      <x:c r="F121" s="78"/>
      <x:c r="G121" s="78"/>
    </x:row>
    <x:row r="122">
      <x:c r="F122" s="78"/>
      <x:c r="G122" s="78"/>
    </x:row>
    <x:row r="123">
      <x:c r="F123" s="78"/>
      <x:c r="G123" s="78"/>
    </x:row>
    <x:row r="124">
      <x:c r="F124" s="78"/>
      <x:c r="G124" s="78"/>
    </x:row>
    <x:row r="125">
      <x:c r="F125" s="78"/>
      <x:c r="G125" s="78"/>
    </x:row>
    <x:row r="126">
      <x:c r="F126" s="78"/>
      <x:c r="G126" s="78"/>
    </x:row>
    <x:row r="127">
      <x:c r="F127" s="78"/>
      <x:c r="G127" s="78"/>
    </x:row>
    <x:row r="128">
      <x:c r="F128" s="78"/>
      <x:c r="G128" s="78"/>
    </x:row>
    <x:row r="129">
      <x:c r="F129" s="78"/>
      <x:c r="G129" s="78"/>
    </x:row>
    <x:row r="130">
      <x:c r="F130" s="78"/>
      <x:c r="G130" s="78"/>
    </x:row>
    <x:row r="131">
      <x:c r="F131" s="78"/>
      <x:c r="G131" s="78"/>
    </x:row>
    <x:row r="132">
      <x:c r="F132" s="78"/>
      <x:c r="G132" s="78"/>
    </x:row>
    <x:row r="133">
      <x:c r="F133" s="78"/>
      <x:c r="G133" s="78"/>
    </x:row>
    <x:row r="134">
      <x:c r="F134" s="78"/>
      <x:c r="G134" s="78"/>
    </x:row>
    <x:row r="135">
      <x:c r="F135" s="78"/>
      <x:c r="G135" s="78"/>
    </x:row>
    <x:row r="136">
      <x:c r="F136" s="78"/>
      <x:c r="G136" s="78"/>
    </x:row>
    <x:row r="137">
      <x:c r="F137" s="78"/>
      <x:c r="G137" s="78"/>
    </x:row>
    <x:row r="138">
      <x:c r="F138" s="78"/>
      <x:c r="G138" s="78"/>
    </x:row>
    <x:row r="139">
      <x:c r="F139" s="78"/>
      <x:c r="G139" s="78"/>
    </x:row>
    <x:row r="140">
      <x:c r="F140" s="78"/>
      <x:c r="G140" s="78"/>
    </x:row>
    <x:row r="141">
      <x:c r="F141" s="78"/>
      <x:c r="G141" s="78"/>
    </x:row>
    <x:row r="142">
      <x:c r="F142" s="78"/>
      <x:c r="G142" s="78"/>
    </x:row>
    <x:row r="143">
      <x:c r="F143" s="78"/>
      <x:c r="G143" s="78"/>
    </x:row>
    <x:row r="144">
      <x:c r="F144" s="78"/>
      <x:c r="G144" s="78"/>
    </x:row>
    <x:row r="145">
      <x:c r="F145" s="78"/>
      <x:c r="G145" s="78"/>
    </x:row>
    <x:row r="146">
      <x:c r="F146" s="78"/>
      <x:c r="G146" s="78"/>
    </x:row>
    <x:row r="147">
      <x:c r="F147" s="78"/>
      <x:c r="G147" s="78"/>
    </x:row>
    <x:row r="148">
      <x:c r="F148" s="78"/>
      <x:c r="G148" s="78"/>
    </x:row>
    <x:row r="149">
      <x:c r="F149" s="78"/>
      <x:c r="G149" s="78"/>
    </x:row>
    <x:row r="150">
      <x:c r="F150" s="78"/>
      <x:c r="G150" s="78"/>
    </x:row>
    <x:row r="151">
      <x:c r="F151" s="78"/>
      <x:c r="G151" s="78"/>
    </x:row>
    <x:row r="152">
      <x:c r="F152" s="78"/>
      <x:c r="G152" s="78"/>
    </x:row>
    <x:row r="153">
      <x:c r="F153" s="78"/>
      <x:c r="G153" s="78"/>
    </x:row>
    <x:row r="154">
      <x:c r="F154" s="78"/>
      <x:c r="G154" s="78"/>
    </x:row>
    <x:row r="155">
      <x:c r="F155" s="78"/>
      <x:c r="G155" s="78"/>
    </x:row>
    <x:row r="156">
      <x:c r="F156" s="78"/>
      <x:c r="G156" s="78"/>
    </x:row>
    <x:row r="157">
      <x:c r="F157" s="78"/>
      <x:c r="G157" s="78"/>
    </x:row>
    <x:row r="158">
      <x:c r="F158" s="78"/>
      <x:c r="G158" s="78"/>
    </x:row>
    <x:row r="159">
      <x:c r="F159" s="78"/>
      <x:c r="G159" s="78"/>
    </x:row>
    <x:row r="160">
      <x:c r="F160" s="78"/>
      <x:c r="G160" s="78"/>
    </x:row>
    <x:row r="161">
      <x:c r="F161" s="78"/>
      <x:c r="G161" s="78"/>
    </x:row>
    <x:row r="162">
      <x:c r="F162" s="78"/>
      <x:c r="G162" s="78"/>
    </x:row>
    <x:row r="163">
      <x:c r="F163" s="78"/>
      <x:c r="G163" s="78"/>
    </x:row>
    <x:row r="164">
      <x:c r="F164" s="78"/>
      <x:c r="G164" s="78"/>
    </x:row>
    <x:row r="165">
      <x:c r="F165" s="78"/>
      <x:c r="G165" s="78"/>
    </x:row>
    <x:row r="166">
      <x:c r="F166" s="78"/>
      <x:c r="G166" s="78"/>
    </x:row>
    <x:row r="167">
      <x:c r="F167" s="78"/>
      <x:c r="G167" s="78"/>
    </x:row>
    <x:row r="168">
      <x:c r="F168" s="78"/>
      <x:c r="G168" s="78"/>
    </x:row>
    <x:row r="169">
      <x:c r="F169" s="78"/>
      <x:c r="G169" s="78"/>
    </x:row>
    <x:row r="170">
      <x:c r="F170" s="78"/>
      <x:c r="G170" s="78"/>
    </x:row>
    <x:row r="171">
      <x:c r="F171" s="78"/>
      <x:c r="G171" s="78"/>
    </x:row>
    <x:row r="172">
      <x:c r="F172" s="78"/>
      <x:c r="G172" s="78"/>
    </x:row>
    <x:row r="173">
      <x:c r="F173" s="78"/>
      <x:c r="G173" s="78"/>
    </x:row>
    <x:row r="174">
      <x:c r="F174" s="78"/>
      <x:c r="G174" s="78"/>
    </x:row>
    <x:row r="175">
      <x:c r="F175" s="78"/>
      <x:c r="G175" s="78"/>
    </x:row>
    <x:row r="176">
      <x:c r="F176" s="78"/>
      <x:c r="G176" s="78"/>
    </x:row>
    <x:row r="177">
      <x:c r="F177" s="78"/>
      <x:c r="G177" s="78"/>
    </x:row>
    <x:row r="178">
      <x:c r="F178" s="78"/>
      <x:c r="G178" s="78"/>
    </x:row>
    <x:row r="179">
      <x:c r="F179" s="78"/>
      <x:c r="G179" s="78"/>
    </x:row>
    <x:row r="180">
      <x:c r="F180" s="78"/>
      <x:c r="G180" s="78"/>
    </x:row>
    <x:row r="181">
      <x:c r="F181" s="78"/>
      <x:c r="G181" s="78"/>
    </x:row>
    <x:row r="182">
      <x:c r="F182" s="78"/>
      <x:c r="G182" s="78"/>
    </x:row>
    <x:row r="183">
      <x:c r="F183" s="78"/>
      <x:c r="G183" s="78"/>
    </x:row>
    <x:row r="184">
      <x:c r="F184" s="78"/>
      <x:c r="G184" s="78"/>
    </x:row>
    <x:row r="185">
      <x:c r="F185" s="78"/>
      <x:c r="G185" s="78"/>
    </x:row>
    <x:row r="186">
      <x:c r="F186" s="78"/>
      <x:c r="G186" s="78"/>
    </x:row>
    <x:row r="187">
      <x:c r="F187" s="78"/>
      <x:c r="G187" s="78"/>
    </x:row>
    <x:row r="188">
      <x:c r="F188" s="78"/>
      <x:c r="G188" s="78"/>
    </x:row>
    <x:row r="189">
      <x:c r="F189" s="78"/>
      <x:c r="G189" s="78"/>
    </x:row>
    <x:row r="190">
      <x:c r="F190" s="78"/>
      <x:c r="G190" s="78"/>
    </x:row>
    <x:row r="191">
      <x:c r="F191" s="78"/>
      <x:c r="G191" s="78"/>
    </x:row>
    <x:row r="192">
      <x:c r="F192" s="78"/>
      <x:c r="G192" s="78"/>
    </x:row>
    <x:row r="193">
      <x:c r="F193" s="78"/>
      <x:c r="G193" s="78"/>
    </x:row>
    <x:row r="194">
      <x:c r="F194" s="78"/>
      <x:c r="G194" s="78"/>
    </x:row>
    <x:row r="195">
      <x:c r="F195" s="78"/>
      <x:c r="G195" s="78"/>
    </x:row>
    <x:row r="196">
      <x:c r="F196" s="78"/>
      <x:c r="G196" s="78"/>
    </x:row>
    <x:row r="197">
      <x:c r="F197" s="78"/>
      <x:c r="G197" s="78"/>
    </x:row>
    <x:row r="198">
      <x:c r="F198" s="78"/>
      <x:c r="G198" s="78"/>
    </x:row>
    <x:row r="199">
      <x:c r="F199" s="78"/>
      <x:c r="G199" s="78"/>
    </x:row>
    <x:row r="200">
      <x:c r="F200" s="78"/>
      <x:c r="G200" s="78"/>
    </x:row>
    <x:row r="201">
      <x:c r="F201" s="78"/>
      <x:c r="G201" s="78"/>
    </x:row>
    <x:row r="202">
      <x:c r="F202" s="78"/>
      <x:c r="G202" s="78"/>
    </x:row>
    <x:row r="203">
      <x:c r="F203" s="78"/>
      <x:c r="G203" s="78"/>
    </x:row>
    <x:row r="204">
      <x:c r="F204" s="78"/>
      <x:c r="G204" s="78"/>
    </x:row>
  </x:sheetData>
  <x:mergeCells>
    <x:mergeCell ref="A1:N1"/>
    <x:mergeCell ref="A2:N2"/>
  </x:mergeCells>
  <x:dataValidations count="4">
    <x:dataValidation type="list" sqref="I5:I204">
      <x:formula1>"PENDING,IDENTITY_CONFIRMED,IDENTITY_CONFLICT,UNVERIFIED_SAME_NAME,REJECTED"</x:formula1>
    </x:dataValidation>
    <x:dataValidation type="list" sqref="J5:J204">
      <x:formula1>"QUALIFIED_GATE_PENDING,DIRECT_TARGET,CONTACT_AFTER_CONFIRMATION,ADJACENT_TARGET,REFERRAL_ONLY,LONG_TERM_POOL,CLIENT_READY,REJECTED"</x:formula1>
    </x:dataValidation>
    <x:dataValidation type="list" sqref="K5:K204">
      <x:formula1>"NOT_STARTED,IN_PROGRESS,EMAIL_VALIDATION_REQUIRED,QUALIFIED_EMAIL_READY,QUALIFIED_DUAL_CHANNEL_READY,LINKEDIN_MANUAL_QUEUE,ORG_REFERRAL_QUEUE,NO_AUTOMATABLE_CONTACT,CONTACT_NOT_PUBLIC_AFTER_DEEP_SEARCH,HUMAN_ACTION_REQUIRED"</x:formula1>
    </x:dataValidation>
    <x:dataValidation type="list" sqref="L5:L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266bcc962e434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14" hidden="0" customWidth="1"/>
    <x:col min="5" max="5" width="11" hidden="0" customWidth="1"/>
    <x:col min="6" max="6" width="14" hidden="0" customWidth="1"/>
    <x:col min="7" max="7" width="12" hidden="0" customWidth="1"/>
    <x:col min="8" max="8" width="16" hidden="0" customWidth="1"/>
    <x:col min="9" max="9" width="13" hidden="0" customWidth="1"/>
    <x:col min="10" max="10" width="14" hidden="0" customWidth="1"/>
    <x:col min="11" max="11" width="28" hidden="0" customWidth="1"/>
    <x:col min="12" max="12" width="56" hidden="0" customWidth="1"/>
    <x:col min="13" max="13" width="60" hidden="0" customWidth="1"/>
  </x:cols>
  <x:sheetData>
    <x:row r="1" ht="34" customHeight="1">
      <x:c r="A1" s="42" t="str">
        <x:v>Source Memory｜來源輪替、冷卻與增量產出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34" customHeight="1">
      <x:c r="A2" s="45" t="str">
        <x:v>來源失敗只影響該JD與Query Class；重複率≥70%、20筆結果少於3位New Unique、或連續兩輪Qualified Yield&lt;10%時換錨點。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4" ht="30" customHeight="1">
      <x:c r="A4" s="75" t="str">
        <x:v>Source ID</x:v>
      </x:c>
      <x:c r="B4" s="76" t="str">
        <x:v>Source Type</x:v>
      </x:c>
      <x:c r="C4" s="76" t="str">
        <x:v>Anchor</x:v>
      </x:c>
      <x:c r="D4" s="76" t="str">
        <x:v>Last Run</x:v>
      </x:c>
      <x:c r="E4" s="76" t="str">
        <x:v>Named</x:v>
      </x:c>
      <x:c r="F4" s="76" t="str">
        <x:v>New Unique</x:v>
      </x:c>
      <x:c r="G4" s="76" t="str">
        <x:v>Duplicate</x:v>
      </x:c>
      <x:c r="H4" s="76" t="str">
        <x:v>Duplicate Rate</x:v>
      </x:c>
      <x:c r="I4" s="76" t="str">
        <x:v>Qualified</x:v>
      </x:c>
      <x:c r="J4" s="76" t="str">
        <x:v>Contactable</x:v>
      </x:c>
      <x:c r="K4" s="76" t="str">
        <x:v>State</x:v>
      </x:c>
      <x:c r="L4" s="76" t="str">
        <x:v>Next Eligible Action</x:v>
      </x:c>
      <x:c r="M4" s="77" t="str">
        <x:v>Source URL</x:v>
      </x:c>
    </x:row>
    <x:row r="5">
      <x:c r="D5" s="78"/>
      <x:c r="H5" s="48" t="n">
        <x:f>IFERROR(G5/E5,0)</x:f>
        <x:v>0</x:v>
      </x:c>
    </x:row>
    <x:row r="6">
      <x:c r="D6" s="78"/>
      <x:c r="H6" s="48" t="n">
        <x:f>IFERROR(G6/E6,0)</x:f>
        <x:v>0</x:v>
      </x:c>
    </x:row>
    <x:row r="7">
      <x:c r="D7" s="78"/>
      <x:c r="H7" s="48" t="n">
        <x:f>IFERROR(G7/E7,0)</x:f>
        <x:v>0</x:v>
      </x:c>
    </x:row>
    <x:row r="8">
      <x:c r="D8" s="78"/>
      <x:c r="H8" s="48" t="n">
        <x:f>IFERROR(G8/E8,0)</x:f>
        <x:v>0</x:v>
      </x:c>
    </x:row>
    <x:row r="9">
      <x:c r="D9" s="78"/>
      <x:c r="H9" s="48" t="n">
        <x:f>IFERROR(G9/E9,0)</x:f>
        <x:v>0</x:v>
      </x:c>
    </x:row>
    <x:row r="10">
      <x:c r="D10" s="78"/>
      <x:c r="H10" s="48" t="n">
        <x:f>IFERROR(G10/E10,0)</x:f>
        <x:v>0</x:v>
      </x:c>
    </x:row>
    <x:row r="11">
      <x:c r="D11" s="78"/>
      <x:c r="H11" s="48" t="n">
        <x:f>IFERROR(G11/E11,0)</x:f>
        <x:v>0</x:v>
      </x:c>
    </x:row>
    <x:row r="12">
      <x:c r="D12" s="78"/>
      <x:c r="H12" s="48" t="n">
        <x:f>IFERROR(G12/E12,0)</x:f>
        <x:v>0</x:v>
      </x:c>
    </x:row>
    <x:row r="13">
      <x:c r="D13" s="78"/>
      <x:c r="H13" s="48" t="n">
        <x:f>IFERROR(G13/E13,0)</x:f>
        <x:v>0</x:v>
      </x:c>
    </x:row>
    <x:row r="14">
      <x:c r="D14" s="78"/>
      <x:c r="H14" s="48" t="n">
        <x:f>IFERROR(G14/E14,0)</x:f>
        <x:v>0</x:v>
      </x:c>
    </x:row>
    <x:row r="15">
      <x:c r="D15" s="78"/>
      <x:c r="H15" s="48" t="n">
        <x:f>IFERROR(G15/E15,0)</x:f>
        <x:v>0</x:v>
      </x:c>
    </x:row>
    <x:row r="16">
      <x:c r="D16" s="78"/>
      <x:c r="H16" s="48" t="n">
        <x:f>IFERROR(G16/E16,0)</x:f>
        <x:v>0</x:v>
      </x:c>
    </x:row>
    <x:row r="17">
      <x:c r="D17" s="78"/>
      <x:c r="H17" s="48" t="n">
        <x:f>IFERROR(G17/E17,0)</x:f>
        <x:v>0</x:v>
      </x:c>
    </x:row>
    <x:row r="18">
      <x:c r="D18" s="78"/>
      <x:c r="H18" s="48" t="n">
        <x:f>IFERROR(G18/E18,0)</x:f>
        <x:v>0</x:v>
      </x:c>
    </x:row>
    <x:row r="19">
      <x:c r="D19" s="78"/>
      <x:c r="H19" s="48" t="n">
        <x:f>IFERROR(G19/E19,0)</x:f>
        <x:v>0</x:v>
      </x:c>
    </x:row>
    <x:row r="20">
      <x:c r="D20" s="78"/>
      <x:c r="H20" s="48" t="n">
        <x:f>IFERROR(G20/E20,0)</x:f>
        <x:v>0</x:v>
      </x:c>
    </x:row>
    <x:row r="21">
      <x:c r="D21" s="78"/>
      <x:c r="H21" s="48" t="n">
        <x:f>IFERROR(G21/E21,0)</x:f>
        <x:v>0</x:v>
      </x:c>
    </x:row>
    <x:row r="22">
      <x:c r="D22" s="78"/>
      <x:c r="H22" s="48" t="n">
        <x:f>IFERROR(G22/E22,0)</x:f>
        <x:v>0</x:v>
      </x:c>
    </x:row>
    <x:row r="23">
      <x:c r="D23" s="78"/>
      <x:c r="H23" s="48" t="n">
        <x:f>IFERROR(G23/E23,0)</x:f>
        <x:v>0</x:v>
      </x:c>
    </x:row>
    <x:row r="24">
      <x:c r="D24" s="78"/>
      <x:c r="H24" s="48" t="n">
        <x:f>IFERROR(G24/E24,0)</x:f>
        <x:v>0</x:v>
      </x:c>
    </x:row>
    <x:row r="25">
      <x:c r="D25" s="78"/>
      <x:c r="H25" s="48" t="n">
        <x:f>IFERROR(G25/E25,0)</x:f>
        <x:v>0</x:v>
      </x:c>
    </x:row>
    <x:row r="26">
      <x:c r="D26" s="78"/>
      <x:c r="H26" s="48" t="n">
        <x:f>IFERROR(G26/E26,0)</x:f>
        <x:v>0</x:v>
      </x:c>
    </x:row>
    <x:row r="27">
      <x:c r="D27" s="78"/>
      <x:c r="H27" s="48" t="n">
        <x:f>IFERROR(G27/E27,0)</x:f>
        <x:v>0</x:v>
      </x:c>
    </x:row>
    <x:row r="28">
      <x:c r="D28" s="78"/>
      <x:c r="H28" s="48" t="n">
        <x:f>IFERROR(G28/E28,0)</x:f>
        <x:v>0</x:v>
      </x:c>
    </x:row>
    <x:row r="29">
      <x:c r="D29" s="78"/>
      <x:c r="H29" s="48" t="n">
        <x:f>IFERROR(G29/E29,0)</x:f>
        <x:v>0</x:v>
      </x:c>
    </x:row>
    <x:row r="30">
      <x:c r="D30" s="78"/>
      <x:c r="H30" s="48" t="n">
        <x:f>IFERROR(G30/E30,0)</x:f>
        <x:v>0</x:v>
      </x:c>
    </x:row>
    <x:row r="31">
      <x:c r="D31" s="78"/>
      <x:c r="H31" s="48" t="n">
        <x:f>IFERROR(G31/E31,0)</x:f>
        <x:v>0</x:v>
      </x:c>
    </x:row>
    <x:row r="32">
      <x:c r="D32" s="78"/>
      <x:c r="H32" s="48" t="n">
        <x:f>IFERROR(G32/E32,0)</x:f>
        <x:v>0</x:v>
      </x:c>
    </x:row>
    <x:row r="33">
      <x:c r="D33" s="78"/>
      <x:c r="H33" s="48" t="n">
        <x:f>IFERROR(G33/E33,0)</x:f>
        <x:v>0</x:v>
      </x:c>
    </x:row>
    <x:row r="34">
      <x:c r="D34" s="78"/>
      <x:c r="H34" s="48" t="n">
        <x:f>IFERROR(G34/E34,0)</x:f>
        <x:v>0</x:v>
      </x:c>
    </x:row>
    <x:row r="35">
      <x:c r="D35" s="78"/>
      <x:c r="H35" s="48" t="n">
        <x:f>IFERROR(G35/E35,0)</x:f>
        <x:v>0</x:v>
      </x:c>
    </x:row>
    <x:row r="36">
      <x:c r="D36" s="78"/>
      <x:c r="H36" s="48" t="n">
        <x:f>IFERROR(G36/E36,0)</x:f>
        <x:v>0</x:v>
      </x:c>
    </x:row>
    <x:row r="37">
      <x:c r="D37" s="78"/>
      <x:c r="H37" s="48" t="n">
        <x:f>IFERROR(G37/E37,0)</x:f>
        <x:v>0</x:v>
      </x:c>
    </x:row>
    <x:row r="38">
      <x:c r="D38" s="78"/>
      <x:c r="H38" s="48" t="n">
        <x:f>IFERROR(G38/E38,0)</x:f>
        <x:v>0</x:v>
      </x:c>
    </x:row>
    <x:row r="39">
      <x:c r="D39" s="78"/>
      <x:c r="H39" s="48" t="n">
        <x:f>IFERROR(G39/E39,0)</x:f>
        <x:v>0</x:v>
      </x:c>
    </x:row>
    <x:row r="40">
      <x:c r="D40" s="78"/>
      <x:c r="H40" s="48" t="n">
        <x:f>IFERROR(G40/E40,0)</x:f>
        <x:v>0</x:v>
      </x:c>
    </x:row>
    <x:row r="41">
      <x:c r="D41" s="78"/>
      <x:c r="H41" s="48" t="n">
        <x:f>IFERROR(G41/E41,0)</x:f>
        <x:v>0</x:v>
      </x:c>
    </x:row>
    <x:row r="42">
      <x:c r="D42" s="78"/>
      <x:c r="H42" s="48" t="n">
        <x:f>IFERROR(G42/E42,0)</x:f>
        <x:v>0</x:v>
      </x:c>
    </x:row>
    <x:row r="43">
      <x:c r="D43" s="78"/>
      <x:c r="H43" s="48" t="n">
        <x:f>IFERROR(G43/E43,0)</x:f>
        <x:v>0</x:v>
      </x:c>
    </x:row>
    <x:row r="44">
      <x:c r="D44" s="78"/>
      <x:c r="H44" s="48" t="n">
        <x:f>IFERROR(G44/E44,0)</x:f>
        <x:v>0</x:v>
      </x:c>
    </x:row>
    <x:row r="45">
      <x:c r="D45" s="78"/>
      <x:c r="H45" s="48" t="n">
        <x:f>IFERROR(G45/E45,0)</x:f>
        <x:v>0</x:v>
      </x:c>
    </x:row>
    <x:row r="46">
      <x:c r="D46" s="78"/>
      <x:c r="H46" s="48" t="n">
        <x:f>IFERROR(G46/E46,0)</x:f>
        <x:v>0</x:v>
      </x:c>
    </x:row>
    <x:row r="47">
      <x:c r="D47" s="78"/>
      <x:c r="H47" s="48" t="n">
        <x:f>IFERROR(G47/E47,0)</x:f>
        <x:v>0</x:v>
      </x:c>
    </x:row>
    <x:row r="48">
      <x:c r="D48" s="78"/>
      <x:c r="H48" s="48" t="n">
        <x:f>IFERROR(G48/E48,0)</x:f>
        <x:v>0</x:v>
      </x:c>
    </x:row>
    <x:row r="49">
      <x:c r="D49" s="78"/>
      <x:c r="H49" s="48" t="n">
        <x:f>IFERROR(G49/E49,0)</x:f>
        <x:v>0</x:v>
      </x:c>
    </x:row>
    <x:row r="50">
      <x:c r="D50" s="78"/>
      <x:c r="H50" s="48" t="n">
        <x:f>IFERROR(G50/E50,0)</x:f>
        <x:v>0</x:v>
      </x:c>
    </x:row>
    <x:row r="51">
      <x:c r="D51" s="78"/>
      <x:c r="H51" s="48" t="n">
        <x:f>IFERROR(G51/E51,0)</x:f>
        <x:v>0</x:v>
      </x:c>
    </x:row>
    <x:row r="52">
      <x:c r="D52" s="78"/>
      <x:c r="H52" s="48" t="n">
        <x:f>IFERROR(G52/E52,0)</x:f>
        <x:v>0</x:v>
      </x:c>
    </x:row>
    <x:row r="53">
      <x:c r="D53" s="78"/>
      <x:c r="H53" s="48" t="n">
        <x:f>IFERROR(G53/E53,0)</x:f>
        <x:v>0</x:v>
      </x:c>
    </x:row>
    <x:row r="54">
      <x:c r="D54" s="78"/>
      <x:c r="H54" s="48" t="n">
        <x:f>IFERROR(G54/E54,0)</x:f>
        <x:v>0</x:v>
      </x:c>
    </x:row>
    <x:row r="55">
      <x:c r="D55" s="78"/>
      <x:c r="H55" s="48" t="n">
        <x:f>IFERROR(G55/E55,0)</x:f>
        <x:v>0</x:v>
      </x:c>
    </x:row>
    <x:row r="56">
      <x:c r="D56" s="78"/>
      <x:c r="H56" s="48" t="n">
        <x:f>IFERROR(G56/E56,0)</x:f>
        <x:v>0</x:v>
      </x:c>
    </x:row>
    <x:row r="57">
      <x:c r="D57" s="78"/>
      <x:c r="H57" s="48" t="n">
        <x:f>IFERROR(G57/E57,0)</x:f>
        <x:v>0</x:v>
      </x:c>
    </x:row>
    <x:row r="58">
      <x:c r="D58" s="78"/>
      <x:c r="H58" s="48" t="n">
        <x:f>IFERROR(G58/E58,0)</x:f>
        <x:v>0</x:v>
      </x:c>
    </x:row>
    <x:row r="59">
      <x:c r="D59" s="78"/>
      <x:c r="H59" s="48" t="n">
        <x:f>IFERROR(G59/E59,0)</x:f>
        <x:v>0</x:v>
      </x:c>
    </x:row>
    <x:row r="60">
      <x:c r="D60" s="78"/>
      <x:c r="H60" s="48" t="n">
        <x:f>IFERROR(G60/E60,0)</x:f>
        <x:v>0</x:v>
      </x:c>
    </x:row>
    <x:row r="61">
      <x:c r="D61" s="78"/>
      <x:c r="H61" s="48" t="n">
        <x:f>IFERROR(G61/E61,0)</x:f>
        <x:v>0</x:v>
      </x:c>
    </x:row>
    <x:row r="62">
      <x:c r="D62" s="78"/>
      <x:c r="H62" s="48" t="n">
        <x:f>IFERROR(G62/E62,0)</x:f>
        <x:v>0</x:v>
      </x:c>
    </x:row>
    <x:row r="63">
      <x:c r="D63" s="78"/>
      <x:c r="H63" s="48" t="n">
        <x:f>IFERROR(G63/E63,0)</x:f>
        <x:v>0</x:v>
      </x:c>
    </x:row>
    <x:row r="64">
      <x:c r="D64" s="78"/>
      <x:c r="H64" s="48" t="n">
        <x:f>IFERROR(G64/E64,0)</x:f>
        <x:v>0</x:v>
      </x:c>
    </x:row>
    <x:row r="65">
      <x:c r="D65" s="78"/>
      <x:c r="H65" s="48" t="n">
        <x:f>IFERROR(G65/E65,0)</x:f>
        <x:v>0</x:v>
      </x:c>
    </x:row>
    <x:row r="66">
      <x:c r="D66" s="78"/>
      <x:c r="H66" s="48" t="n">
        <x:f>IFERROR(G66/E66,0)</x:f>
        <x:v>0</x:v>
      </x:c>
    </x:row>
    <x:row r="67">
      <x:c r="D67" s="78"/>
      <x:c r="H67" s="48" t="n">
        <x:f>IFERROR(G67/E67,0)</x:f>
        <x:v>0</x:v>
      </x:c>
    </x:row>
    <x:row r="68">
      <x:c r="D68" s="78"/>
      <x:c r="H68" s="48" t="n">
        <x:f>IFERROR(G68/E68,0)</x:f>
        <x:v>0</x:v>
      </x:c>
    </x:row>
    <x:row r="69">
      <x:c r="D69" s="78"/>
      <x:c r="H69" s="48" t="n">
        <x:f>IFERROR(G69/E69,0)</x:f>
        <x:v>0</x:v>
      </x:c>
    </x:row>
    <x:row r="70">
      <x:c r="D70" s="78"/>
      <x:c r="H70" s="48" t="n">
        <x:f>IFERROR(G70/E70,0)</x:f>
        <x:v>0</x:v>
      </x:c>
    </x:row>
    <x:row r="71">
      <x:c r="D71" s="78"/>
      <x:c r="H71" s="48" t="n">
        <x:f>IFERROR(G71/E71,0)</x:f>
        <x:v>0</x:v>
      </x:c>
    </x:row>
    <x:row r="72">
      <x:c r="D72" s="78"/>
      <x:c r="H72" s="48" t="n">
        <x:f>IFERROR(G72/E72,0)</x:f>
        <x:v>0</x:v>
      </x:c>
    </x:row>
    <x:row r="73">
      <x:c r="D73" s="78"/>
      <x:c r="H73" s="48" t="n">
        <x:f>IFERROR(G73/E73,0)</x:f>
        <x:v>0</x:v>
      </x:c>
    </x:row>
    <x:row r="74">
      <x:c r="D74" s="78"/>
      <x:c r="H74" s="48" t="n">
        <x:f>IFERROR(G74/E74,0)</x:f>
        <x:v>0</x:v>
      </x:c>
    </x:row>
    <x:row r="75">
      <x:c r="D75" s="78"/>
      <x:c r="H75" s="48" t="n">
        <x:f>IFERROR(G75/E75,0)</x:f>
        <x:v>0</x:v>
      </x:c>
    </x:row>
    <x:row r="76">
      <x:c r="D76" s="78"/>
      <x:c r="H76" s="48" t="n">
        <x:f>IFERROR(G76/E76,0)</x:f>
        <x:v>0</x:v>
      </x:c>
    </x:row>
    <x:row r="77">
      <x:c r="D77" s="78"/>
      <x:c r="H77" s="48" t="n">
        <x:f>IFERROR(G77/E77,0)</x:f>
        <x:v>0</x:v>
      </x:c>
    </x:row>
    <x:row r="78">
      <x:c r="D78" s="78"/>
      <x:c r="H78" s="48" t="n">
        <x:f>IFERROR(G78/E78,0)</x:f>
        <x:v>0</x:v>
      </x:c>
    </x:row>
    <x:row r="79">
      <x:c r="D79" s="78"/>
      <x:c r="H79" s="48" t="n">
        <x:f>IFERROR(G79/E79,0)</x:f>
        <x:v>0</x:v>
      </x:c>
    </x:row>
    <x:row r="80">
      <x:c r="D80" s="78"/>
      <x:c r="H80" s="48" t="n">
        <x:f>IFERROR(G80/E80,0)</x:f>
        <x:v>0</x:v>
      </x:c>
    </x:row>
    <x:row r="81">
      <x:c r="D81" s="78"/>
      <x:c r="H81" s="48" t="n">
        <x:f>IFERROR(G81/E81,0)</x:f>
        <x:v>0</x:v>
      </x:c>
    </x:row>
    <x:row r="82">
      <x:c r="D82" s="78"/>
      <x:c r="H82" s="48" t="n">
        <x:f>IFERROR(G82/E82,0)</x:f>
        <x:v>0</x:v>
      </x:c>
    </x:row>
    <x:row r="83">
      <x:c r="D83" s="78"/>
      <x:c r="H83" s="48" t="n">
        <x:f>IFERROR(G83/E83,0)</x:f>
        <x:v>0</x:v>
      </x:c>
    </x:row>
    <x:row r="84">
      <x:c r="D84" s="78"/>
      <x:c r="H84" s="48" t="n">
        <x:f>IFERROR(G84/E84,0)</x:f>
        <x:v>0</x:v>
      </x:c>
    </x:row>
    <x:row r="85">
      <x:c r="D85" s="78"/>
      <x:c r="H85" s="48" t="n">
        <x:f>IFERROR(G85/E85,0)</x:f>
        <x:v>0</x:v>
      </x:c>
    </x:row>
    <x:row r="86">
      <x:c r="D86" s="78"/>
      <x:c r="H86" s="48" t="n">
        <x:f>IFERROR(G86/E86,0)</x:f>
        <x:v>0</x:v>
      </x:c>
    </x:row>
    <x:row r="87">
      <x:c r="D87" s="78"/>
      <x:c r="H87" s="48" t="n">
        <x:f>IFERROR(G87/E87,0)</x:f>
        <x:v>0</x:v>
      </x:c>
    </x:row>
    <x:row r="88">
      <x:c r="D88" s="78"/>
      <x:c r="H88" s="48" t="n">
        <x:f>IFERROR(G88/E88,0)</x:f>
        <x:v>0</x:v>
      </x:c>
    </x:row>
    <x:row r="89">
      <x:c r="D89" s="78"/>
      <x:c r="H89" s="48" t="n">
        <x:f>IFERROR(G89/E89,0)</x:f>
        <x:v>0</x:v>
      </x:c>
    </x:row>
    <x:row r="90">
      <x:c r="D90" s="78"/>
      <x:c r="H90" s="48" t="n">
        <x:f>IFERROR(G90/E90,0)</x:f>
        <x:v>0</x:v>
      </x:c>
    </x:row>
    <x:row r="91">
      <x:c r="D91" s="78"/>
      <x:c r="H91" s="48" t="n">
        <x:f>IFERROR(G91/E91,0)</x:f>
        <x:v>0</x:v>
      </x:c>
    </x:row>
    <x:row r="92">
      <x:c r="D92" s="78"/>
      <x:c r="H92" s="48" t="n">
        <x:f>IFERROR(G92/E92,0)</x:f>
        <x:v>0</x:v>
      </x:c>
    </x:row>
    <x:row r="93">
      <x:c r="D93" s="78"/>
      <x:c r="H93" s="48" t="n">
        <x:f>IFERROR(G93/E93,0)</x:f>
        <x:v>0</x:v>
      </x:c>
    </x:row>
    <x:row r="94">
      <x:c r="D94" s="78"/>
      <x:c r="H94" s="48" t="n">
        <x:f>IFERROR(G94/E94,0)</x:f>
        <x:v>0</x:v>
      </x:c>
    </x:row>
    <x:row r="95">
      <x:c r="D95" s="78"/>
      <x:c r="H95" s="48" t="n">
        <x:f>IFERROR(G95/E95,0)</x:f>
        <x:v>0</x:v>
      </x:c>
    </x:row>
    <x:row r="96">
      <x:c r="D96" s="78"/>
      <x:c r="H96" s="48" t="n">
        <x:f>IFERROR(G96/E96,0)</x:f>
        <x:v>0</x:v>
      </x:c>
    </x:row>
    <x:row r="97">
      <x:c r="D97" s="78"/>
      <x:c r="H97" s="48" t="n">
        <x:f>IFERROR(G97/E97,0)</x:f>
        <x:v>0</x:v>
      </x:c>
    </x:row>
    <x:row r="98">
      <x:c r="D98" s="78"/>
      <x:c r="H98" s="48" t="n">
        <x:f>IFERROR(G98/E98,0)</x:f>
        <x:v>0</x:v>
      </x:c>
    </x:row>
    <x:row r="99">
      <x:c r="D99" s="78"/>
      <x:c r="H99" s="48" t="n">
        <x:f>IFERROR(G99/E99,0)</x:f>
        <x:v>0</x:v>
      </x:c>
    </x:row>
    <x:row r="100">
      <x:c r="D100" s="78"/>
      <x:c r="H100" s="48" t="n">
        <x:f>IFERROR(G100/E100,0)</x:f>
        <x:v>0</x:v>
      </x:c>
    </x:row>
    <x:row r="101">
      <x:c r="D101" s="78"/>
      <x:c r="H101" s="48" t="n">
        <x:f>IFERROR(G101/E101,0)</x:f>
        <x:v>0</x:v>
      </x:c>
    </x:row>
    <x:row r="102">
      <x:c r="D102" s="78"/>
      <x:c r="H102" s="48" t="n">
        <x:f>IFERROR(G102/E102,0)</x:f>
        <x:v>0</x:v>
      </x:c>
    </x:row>
    <x:row r="103">
      <x:c r="D103" s="78"/>
      <x:c r="H103" s="48" t="n">
        <x:f>IFERROR(G103/E103,0)</x:f>
        <x:v>0</x:v>
      </x:c>
    </x:row>
    <x:row r="104">
      <x:c r="D104" s="78"/>
      <x:c r="H104" s="48" t="n">
        <x:f>IFERROR(G104/E104,0)</x:f>
        <x:v>0</x:v>
      </x:c>
    </x:row>
  </x:sheetData>
  <x:mergeCells>
    <x:mergeCell ref="A1:M1"/>
    <x:mergeCell ref="A2:M2"/>
  </x:mergeCells>
  <x:conditionalFormatting sqref="H5:H104">
    <x:cfRule type="cellIs" dxfId="6" priority="1" operator="greaterThanOrEqual">
      <x:formula>0.7</x:formula>
    </x:cfRule>
  </x:conditionalFormatting>
  <x:dataValidations count="1">
    <x:dataValidation type="list" sqref="K5:K104">
      <x:formula1>"ACTIVE,COOLDOWN,EXHAUSTED,BLOCKED,RERUN_ON_NEW_ANCHOR"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62bf80c744a6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5" hidden="0" customWidth="1"/>
    <x:col min="4" max="4" width="45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18" hidden="0" customWidth="1"/>
    <x:col min="10" max="10" width="16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20" hidden="0" customWidth="1"/>
    <x:col min="16" max="16" width="18" hidden="0" customWidth="1"/>
    <x:col min="17" max="17" width="18" hidden="0" customWidth="1"/>
    <x:col min="18" max="18" width="45" hidden="0" customWidth="1"/>
    <x:col min="19" max="19" width="54" hidden="0" customWidth="1"/>
    <x:col min="20" max="20" width="22" hidden="0" customWidth="1"/>
  </x:cols>
  <x:sheetData>
    <x:row r="1" ht="34" customHeight="1">
      <x:c r="A1" s="42" t="str">
        <x:v>Daily Run Log｜每天只報增量，不報搜尋動作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34" customHeight="1">
      <x:c r="A2" s="80" t="str">
        <x:v>PRODUCTIVE仍需分開回報自動聯繫成果；只有Raw Leads為DISCOVERY_ONLY。自動Email是目標但本輪沒有新增Email-ready時，另標AUTO_OUTREACH_TARGET_MISSED。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</x:row>
    <x:row r="4" ht="30" customHeight="1">
      <x:c r="A4" s="75" t="str">
        <x:v>Run Date</x:v>
      </x:c>
      <x:c r="B4" s="76" t="str">
        <x:v>Run ID</x:v>
      </x:c>
      <x:c r="C4" s="76" t="str">
        <x:v>Phase</x:v>
      </x:c>
      <x:c r="D4" s="76" t="str">
        <x:v>Sources Attempted</x:v>
      </x:c>
      <x:c r="E4" s="76" t="str">
        <x:v>Names Reviewed</x:v>
      </x:c>
      <x:c r="F4" s="76" t="str">
        <x:v>New Unique</x:v>
      </x:c>
      <x:c r="G4" s="76" t="str">
        <x:v>Evidence Update</x:v>
      </x:c>
      <x:c r="H4" s="76" t="str">
        <x:v>Duplicate</x:v>
      </x:c>
      <x:c r="I4" s="76" t="str">
        <x:v>Identity Conflict</x:v>
      </x:c>
      <x:c r="J4" s="76" t="str">
        <x:v>New Qualified</x:v>
      </x:c>
      <x:c r="K4" s="76" t="str">
        <x:v>New Direct</x:v>
      </x:c>
      <x:c r="L4" s="76" t="str">
        <x:v>New Email</x:v>
      </x:c>
      <x:c r="M4" s="76" t="str">
        <x:v>New Phone</x:v>
      </x:c>
      <x:c r="N4" s="76" t="str">
        <x:v>New Social</x:v>
      </x:c>
      <x:c r="O4" s="76" t="str">
        <x:v>New Person Contact</x:v>
      </x:c>
      <x:c r="P4" s="76" t="str">
        <x:v>New Dual Channel</x:v>
      </x:c>
      <x:c r="Q4" s="76" t="str">
        <x:v>New Client-ready</x:v>
      </x:c>
      <x:c r="R4" s="76" t="str">
        <x:v>Blocker / Shortfall</x:v>
      </x:c>
      <x:c r="S4" s="76" t="str">
        <x:v>Next Action</x:v>
      </x:c>
      <x:c r="T4" s="77" t="str">
        <x:v>Run Status</x:v>
      </x:c>
    </x:row>
    <x:row r="5">
      <x:c r="A5" s="78"/>
    </x:row>
    <x:row r="6">
      <x:c r="A6" s="78"/>
    </x:row>
    <x:row r="7">
      <x:c r="A7" s="78"/>
    </x:row>
    <x:row r="8">
      <x:c r="A8" s="78"/>
    </x:row>
    <x:row r="9">
      <x:c r="A9" s="78"/>
    </x:row>
    <x:row r="10">
      <x:c r="A10" s="78"/>
    </x:row>
    <x:row r="11">
      <x:c r="A11" s="78"/>
    </x:row>
    <x:row r="12">
      <x:c r="A12" s="78"/>
    </x:row>
    <x:row r="13">
      <x:c r="A13" s="78"/>
    </x:row>
    <x:row r="14">
      <x:c r="A14" s="78"/>
    </x:row>
    <x:row r="15">
      <x:c r="A15" s="78"/>
    </x:row>
    <x:row r="16">
      <x:c r="A16" s="78"/>
    </x:row>
    <x:row r="17">
      <x:c r="A17" s="78"/>
    </x:row>
    <x:row r="18">
      <x:c r="A18" s="78"/>
    </x:row>
    <x:row r="19">
      <x:c r="A19" s="78"/>
    </x:row>
    <x:row r="20">
      <x:c r="A20" s="78"/>
    </x:row>
    <x:row r="21">
      <x:c r="A21" s="78"/>
    </x:row>
    <x:row r="22">
      <x:c r="A22" s="78"/>
    </x:row>
    <x:row r="23">
      <x:c r="A23" s="78"/>
    </x:row>
    <x:row r="24">
      <x:c r="A24" s="78"/>
    </x:row>
    <x:row r="25">
      <x:c r="A25" s="78"/>
    </x:row>
    <x:row r="26">
      <x:c r="A26" s="78"/>
    </x:row>
    <x:row r="27">
      <x:c r="A27" s="78"/>
    </x:row>
    <x:row r="28">
      <x:c r="A28" s="78"/>
    </x:row>
    <x:row r="29">
      <x:c r="A29" s="78"/>
    </x:row>
    <x:row r="30">
      <x:c r="A30" s="78"/>
    </x:row>
    <x:row r="31">
      <x:c r="A31" s="78"/>
    </x:row>
    <x:row r="32">
      <x:c r="A32" s="78"/>
    </x:row>
    <x:row r="33">
      <x:c r="A33" s="78"/>
    </x:row>
    <x:row r="34">
      <x:c r="A34" s="78"/>
    </x:row>
    <x:row r="35">
      <x:c r="A35" s="78"/>
    </x:row>
    <x:row r="36">
      <x:c r="A36" s="78"/>
    </x:row>
    <x:row r="37">
      <x:c r="A37" s="78"/>
    </x:row>
    <x:row r="38">
      <x:c r="A38" s="78"/>
    </x:row>
    <x:row r="39">
      <x:c r="A39" s="78"/>
    </x:row>
    <x:row r="40">
      <x:c r="A40" s="78"/>
    </x:row>
    <x:row r="41">
      <x:c r="A41" s="78"/>
    </x:row>
    <x:row r="42">
      <x:c r="A42" s="78"/>
    </x:row>
    <x:row r="43">
      <x:c r="A43" s="78"/>
    </x:row>
    <x:row r="44">
      <x:c r="A44" s="78"/>
    </x:row>
    <x:row r="45">
      <x:c r="A45" s="78"/>
    </x:row>
    <x:row r="46">
      <x:c r="A46" s="78"/>
    </x:row>
    <x:row r="47">
      <x:c r="A47" s="78"/>
    </x:row>
    <x:row r="48">
      <x:c r="A48" s="78"/>
    </x:row>
    <x:row r="49">
      <x:c r="A49" s="78"/>
    </x:row>
    <x:row r="50">
      <x:c r="A50" s="78"/>
    </x:row>
    <x:row r="51">
      <x:c r="A51" s="78"/>
    </x:row>
    <x:row r="52">
      <x:c r="A52" s="78"/>
    </x:row>
    <x:row r="53">
      <x:c r="A53" s="78"/>
    </x:row>
    <x:row r="54">
      <x:c r="A54" s="78"/>
    </x:row>
    <x:row r="55">
      <x:c r="A55" s="78"/>
    </x:row>
    <x:row r="56">
      <x:c r="A56" s="78"/>
    </x:row>
    <x:row r="57">
      <x:c r="A57" s="78"/>
    </x:row>
    <x:row r="58">
      <x:c r="A58" s="78"/>
    </x:row>
    <x:row r="59">
      <x:c r="A59" s="78"/>
    </x:row>
    <x:row r="60">
      <x:c r="A60" s="78"/>
    </x:row>
    <x:row r="61">
      <x:c r="A61" s="78"/>
    </x:row>
    <x:row r="62">
      <x:c r="A62" s="78"/>
    </x:row>
    <x:row r="63">
      <x:c r="A63" s="78"/>
    </x:row>
    <x:row r="64">
      <x:c r="A64" s="78"/>
    </x:row>
    <x:row r="65">
      <x:c r="A65" s="78"/>
    </x:row>
    <x:row r="66">
      <x:c r="A66" s="78"/>
    </x:row>
    <x:row r="67">
      <x:c r="A67" s="78"/>
    </x:row>
    <x:row r="68">
      <x:c r="A68" s="78"/>
    </x:row>
    <x:row r="69">
      <x:c r="A69" s="78"/>
    </x:row>
    <x:row r="70">
      <x:c r="A70" s="78"/>
    </x:row>
    <x:row r="71">
      <x:c r="A71" s="78"/>
    </x:row>
    <x:row r="72">
      <x:c r="A72" s="78"/>
    </x:row>
    <x:row r="73">
      <x:c r="A73" s="78"/>
    </x:row>
    <x:row r="74">
      <x:c r="A74" s="78"/>
    </x:row>
    <x:row r="75">
      <x:c r="A75" s="78"/>
    </x:row>
    <x:row r="76">
      <x:c r="A76" s="78"/>
    </x:row>
    <x:row r="77">
      <x:c r="A77" s="78"/>
    </x:row>
    <x:row r="78">
      <x:c r="A78" s="78"/>
    </x:row>
    <x:row r="79">
      <x:c r="A79" s="78"/>
    </x:row>
    <x:row r="80">
      <x:c r="A80" s="78"/>
    </x:row>
    <x:row r="81">
      <x:c r="A81" s="78"/>
    </x:row>
    <x:row r="82">
      <x:c r="A82" s="78"/>
    </x:row>
    <x:row r="83">
      <x:c r="A83" s="78"/>
    </x:row>
    <x:row r="84">
      <x:c r="A84" s="78"/>
    </x:row>
    <x:row r="85">
      <x:c r="A85" s="78"/>
    </x:row>
    <x:row r="86">
      <x:c r="A86" s="78"/>
    </x:row>
    <x:row r="87">
      <x:c r="A87" s="78"/>
    </x:row>
    <x:row r="88">
      <x:c r="A88" s="78"/>
    </x:row>
    <x:row r="89">
      <x:c r="A89" s="78"/>
    </x:row>
    <x:row r="90">
      <x:c r="A90" s="78"/>
    </x:row>
    <x:row r="91">
      <x:c r="A91" s="78"/>
    </x:row>
    <x:row r="92">
      <x:c r="A92" s="78"/>
    </x:row>
    <x:row r="93">
      <x:c r="A93" s="78"/>
    </x:row>
    <x:row r="94">
      <x:c r="A94" s="78"/>
    </x:row>
    <x:row r="95">
      <x:c r="A95" s="78"/>
    </x:row>
    <x:row r="96">
      <x:c r="A96" s="78"/>
    </x:row>
    <x:row r="97">
      <x:c r="A97" s="78"/>
    </x:row>
    <x:row r="98">
      <x:c r="A98" s="78"/>
    </x:row>
    <x:row r="99">
      <x:c r="A99" s="78"/>
    </x:row>
    <x:row r="100">
      <x:c r="A100" s="78"/>
    </x:row>
    <x:row r="101">
      <x:c r="A101" s="78"/>
    </x:row>
    <x:row r="102">
      <x:c r="A102" s="78"/>
    </x:row>
    <x:row r="103">
      <x:c r="A103" s="78"/>
    </x:row>
    <x:row r="104">
      <x:c r="A104" s="78"/>
    </x:row>
  </x:sheetData>
  <x:mergeCells>
    <x:mergeCell ref="A1:T1"/>
    <x:mergeCell ref="A2:T2"/>
  </x:mergeCells>
  <x:dataValidations count="1">
    <x:dataValidation type="list" sqref="T5:T104">
      <x:formula1>"PRODUCTIVE,DISCOVERY_ONLY,MAINTENANCE_ONLY,ZERO_DELTA,BLOCKED"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fdec4a949465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4" hidden="0" customWidth="1"/>
    <x:col min="5" max="5" width="14" hidden="0" customWidth="1"/>
    <x:col min="6" max="6" width="18" hidden="0" customWidth="1"/>
    <x:col min="7" max="7" width="30" hidden="0" customWidth="1"/>
    <x:col min="8" max="8" width="65" hidden="0" customWidth="1"/>
    <x:col min="9" max="9" width="54" hidden="0" customWidth="1"/>
    <x:col min="10" max="10" width="34" hidden="0" customWidth="1"/>
  </x:cols>
  <x:sheetData>
    <x:row r="1" ht="34" customHeight="1">
      <x:c r="A1" s="42" t="str">
        <x:v>Work Queues｜Agent每天從最舊且可執行的任務往下拉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34" customHeight="1">
      <x:c r="A2" s="83" t="str">
        <x:v>依序處理身分衝突、Qualified Gate、Contact Enrichment，再補新錨點；下游Backlog高於WIP時停止大量新增Raw Leads。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30" customHeight="1">
      <x:c r="A4" s="75" t="str">
        <x:v>Queue ID</x:v>
      </x:c>
      <x:c r="B4" s="76" t="str">
        <x:v>Queue Type</x:v>
      </x:c>
      <x:c r="C4" s="76" t="str">
        <x:v>Priority</x:v>
      </x:c>
      <x:c r="D4" s="76" t="str">
        <x:v>Candidate / Anchor</x:v>
      </x:c>
      <x:c r="E4" s="76" t="str">
        <x:v>Created</x:v>
      </x:c>
      <x:c r="F4" s="76" t="str">
        <x:v>Status</x:v>
      </x:c>
      <x:c r="G4" s="76" t="str">
        <x:v>Eligibility</x:v>
      </x:c>
      <x:c r="H4" s="76" t="str">
        <x:v>Required Action</x:v>
      </x:c>
      <x:c r="I4" s="76" t="str">
        <x:v>Stop Rule</x:v>
      </x:c>
      <x:c r="J4" s="77" t="str">
        <x:v>Output Destination</x:v>
      </x:c>
    </x:row>
    <x:row r="5">
      <x:c r="E5" s="78"/>
    </x:row>
    <x:row r="6">
      <x:c r="E6" s="78"/>
    </x:row>
    <x:row r="7">
      <x:c r="E7" s="78"/>
    </x:row>
    <x:row r="8">
      <x:c r="E8" s="78"/>
    </x:row>
    <x:row r="9">
      <x:c r="E9" s="78"/>
    </x:row>
    <x:row r="10">
      <x:c r="E10" s="78"/>
    </x:row>
    <x:row r="11">
      <x:c r="E11" s="78"/>
    </x:row>
    <x:row r="12">
      <x:c r="E12" s="78"/>
    </x:row>
    <x:row r="13">
      <x:c r="E13" s="78"/>
    </x:row>
    <x:row r="14">
      <x:c r="E14" s="78"/>
    </x:row>
    <x:row r="15">
      <x:c r="E15" s="78"/>
    </x:row>
    <x:row r="16">
      <x:c r="E16" s="78"/>
    </x:row>
    <x:row r="17">
      <x:c r="E17" s="78"/>
    </x:row>
    <x:row r="18">
      <x:c r="E18" s="78"/>
    </x:row>
    <x:row r="19">
      <x:c r="E19" s="78"/>
    </x:row>
    <x:row r="20">
      <x:c r="E20" s="78"/>
    </x:row>
    <x:row r="21">
      <x:c r="E21" s="78"/>
    </x:row>
    <x:row r="22">
      <x:c r="E22" s="78"/>
    </x:row>
    <x:row r="23">
      <x:c r="E23" s="78"/>
    </x:row>
    <x:row r="24">
      <x:c r="E24" s="78"/>
    </x:row>
    <x:row r="25">
      <x:c r="E25" s="78"/>
    </x:row>
    <x:row r="26">
      <x:c r="E26" s="78"/>
    </x:row>
    <x:row r="27">
      <x:c r="E27" s="78"/>
    </x:row>
    <x:row r="28">
      <x:c r="E28" s="78"/>
    </x:row>
    <x:row r="29">
      <x:c r="E29" s="78"/>
    </x:row>
    <x:row r="30">
      <x:c r="E30" s="78"/>
    </x:row>
    <x:row r="31">
      <x:c r="E31" s="78"/>
    </x:row>
    <x:row r="32">
      <x:c r="E32" s="78"/>
    </x:row>
    <x:row r="33">
      <x:c r="E33" s="78"/>
    </x:row>
    <x:row r="34">
      <x:c r="E34" s="78"/>
    </x:row>
    <x:row r="35">
      <x:c r="E35" s="78"/>
    </x:row>
    <x:row r="36">
      <x:c r="E36" s="78"/>
    </x:row>
    <x:row r="37">
      <x:c r="E37" s="78"/>
    </x:row>
    <x:row r="38">
      <x:c r="E38" s="78"/>
    </x:row>
    <x:row r="39">
      <x:c r="E39" s="78"/>
    </x:row>
    <x:row r="40">
      <x:c r="E40" s="78"/>
    </x:row>
    <x:row r="41">
      <x:c r="E41" s="78"/>
    </x:row>
    <x:row r="42">
      <x:c r="E42" s="78"/>
    </x:row>
    <x:row r="43">
      <x:c r="E43" s="78"/>
    </x:row>
    <x:row r="44">
      <x:c r="E44" s="78"/>
    </x:row>
    <x:row r="45">
      <x:c r="E45" s="78"/>
    </x:row>
    <x:row r="46">
      <x:c r="E46" s="78"/>
    </x:row>
    <x:row r="47">
      <x:c r="E47" s="78"/>
    </x:row>
    <x:row r="48">
      <x:c r="E48" s="78"/>
    </x:row>
    <x:row r="49">
      <x:c r="E49" s="78"/>
    </x:row>
    <x:row r="50">
      <x:c r="E50" s="78"/>
    </x:row>
    <x:row r="51">
      <x:c r="E51" s="78"/>
    </x:row>
    <x:row r="52">
      <x:c r="E52" s="78"/>
    </x:row>
    <x:row r="53">
      <x:c r="E53" s="78"/>
    </x:row>
    <x:row r="54">
      <x:c r="E54" s="78"/>
    </x:row>
    <x:row r="55">
      <x:c r="E55" s="78"/>
    </x:row>
    <x:row r="56">
      <x:c r="E56" s="78"/>
    </x:row>
    <x:row r="57">
      <x:c r="E57" s="78"/>
    </x:row>
    <x:row r="58">
      <x:c r="E58" s="78"/>
    </x:row>
    <x:row r="59">
      <x:c r="E59" s="78"/>
    </x:row>
    <x:row r="60">
      <x:c r="E60" s="78"/>
    </x:row>
    <x:row r="61">
      <x:c r="E61" s="78"/>
    </x:row>
    <x:row r="62">
      <x:c r="E62" s="78"/>
    </x:row>
    <x:row r="63">
      <x:c r="E63" s="78"/>
    </x:row>
    <x:row r="64">
      <x:c r="E64" s="78"/>
    </x:row>
    <x:row r="65">
      <x:c r="E65" s="78"/>
    </x:row>
    <x:row r="66">
      <x:c r="E66" s="78"/>
    </x:row>
    <x:row r="67">
      <x:c r="E67" s="78"/>
    </x:row>
    <x:row r="68">
      <x:c r="E68" s="78"/>
    </x:row>
    <x:row r="69">
      <x:c r="E69" s="78"/>
    </x:row>
    <x:row r="70">
      <x:c r="E70" s="78"/>
    </x:row>
    <x:row r="71">
      <x:c r="E71" s="78"/>
    </x:row>
    <x:row r="72">
      <x:c r="E72" s="78"/>
    </x:row>
    <x:row r="73">
      <x:c r="E73" s="78"/>
    </x:row>
    <x:row r="74">
      <x:c r="E74" s="78"/>
    </x:row>
    <x:row r="75">
      <x:c r="E75" s="78"/>
    </x:row>
    <x:row r="76">
      <x:c r="E76" s="78"/>
    </x:row>
    <x:row r="77">
      <x:c r="E77" s="78"/>
    </x:row>
    <x:row r="78">
      <x:c r="E78" s="78"/>
    </x:row>
    <x:row r="79">
      <x:c r="E79" s="78"/>
    </x:row>
    <x:row r="80">
      <x:c r="E80" s="78"/>
    </x:row>
    <x:row r="81">
      <x:c r="E81" s="78"/>
    </x:row>
    <x:row r="82">
      <x:c r="E82" s="78"/>
    </x:row>
    <x:row r="83">
      <x:c r="E83" s="78"/>
    </x:row>
    <x:row r="84">
      <x:c r="E84" s="78"/>
    </x:row>
    <x:row r="85">
      <x:c r="E85" s="78"/>
    </x:row>
    <x:row r="86">
      <x:c r="E86" s="78"/>
    </x:row>
    <x:row r="87">
      <x:c r="E87" s="78"/>
    </x:row>
    <x:row r="88">
      <x:c r="E88" s="78"/>
    </x:row>
    <x:row r="89">
      <x:c r="E89" s="78"/>
    </x:row>
    <x:row r="90">
      <x:c r="E90" s="78"/>
    </x:row>
    <x:row r="91">
      <x:c r="E91" s="78"/>
    </x:row>
    <x:row r="92">
      <x:c r="E92" s="78"/>
    </x:row>
    <x:row r="93">
      <x:c r="E93" s="78"/>
    </x:row>
    <x:row r="94">
      <x:c r="E94" s="78"/>
    </x:row>
    <x:row r="95">
      <x:c r="E95" s="78"/>
    </x:row>
    <x:row r="96">
      <x:c r="E96" s="78"/>
    </x:row>
    <x:row r="97">
      <x:c r="E97" s="78"/>
    </x:row>
    <x:row r="98">
      <x:c r="E98" s="78"/>
    </x:row>
    <x:row r="99">
      <x:c r="E99" s="78"/>
    </x:row>
    <x:row r="100">
      <x:c r="E100" s="78"/>
    </x:row>
    <x:row r="101">
      <x:c r="E101" s="78"/>
    </x:row>
    <x:row r="102">
      <x:c r="E102" s="78"/>
    </x:row>
    <x:row r="103">
      <x:c r="E103" s="78"/>
    </x:row>
    <x:row r="104">
      <x:c r="E104" s="78"/>
    </x:row>
    <x:row r="105">
      <x:c r="E105" s="78"/>
    </x:row>
    <x:row r="106">
      <x:c r="E106" s="78"/>
    </x:row>
    <x:row r="107">
      <x:c r="E107" s="78"/>
    </x:row>
    <x:row r="108">
      <x:c r="E108" s="78"/>
    </x:row>
    <x:row r="109">
      <x:c r="E109" s="78"/>
    </x:row>
    <x:row r="110">
      <x:c r="E110" s="78"/>
    </x:row>
    <x:row r="111">
      <x:c r="E111" s="78"/>
    </x:row>
    <x:row r="112">
      <x:c r="E112" s="78"/>
    </x:row>
    <x:row r="113">
      <x:c r="E113" s="78"/>
    </x:row>
    <x:row r="114">
      <x:c r="E114" s="78"/>
    </x:row>
    <x:row r="115">
      <x:c r="E115" s="78"/>
    </x:row>
    <x:row r="116">
      <x:c r="E116" s="78"/>
    </x:row>
    <x:row r="117">
      <x:c r="E117" s="78"/>
    </x:row>
    <x:row r="118">
      <x:c r="E118" s="78"/>
    </x:row>
    <x:row r="119">
      <x:c r="E119" s="78"/>
    </x:row>
    <x:row r="120">
      <x:c r="E120" s="78"/>
    </x:row>
    <x:row r="121">
      <x:c r="E121" s="78"/>
    </x:row>
    <x:row r="122">
      <x:c r="E122" s="78"/>
    </x:row>
    <x:row r="123">
      <x:c r="E123" s="78"/>
    </x:row>
    <x:row r="124">
      <x:c r="E124" s="78"/>
    </x:row>
    <x:row r="125">
      <x:c r="E125" s="78"/>
    </x:row>
    <x:row r="126">
      <x:c r="E126" s="78"/>
    </x:row>
    <x:row r="127">
      <x:c r="E127" s="78"/>
    </x:row>
    <x:row r="128">
      <x:c r="E128" s="78"/>
    </x:row>
    <x:row r="129">
      <x:c r="E129" s="78"/>
    </x:row>
    <x:row r="130">
      <x:c r="E130" s="78"/>
    </x:row>
    <x:row r="131">
      <x:c r="E131" s="78"/>
    </x:row>
    <x:row r="132">
      <x:c r="E132" s="78"/>
    </x:row>
    <x:row r="133">
      <x:c r="E133" s="78"/>
    </x:row>
    <x:row r="134">
      <x:c r="E134" s="78"/>
    </x:row>
    <x:row r="135">
      <x:c r="E135" s="78"/>
    </x:row>
    <x:row r="136">
      <x:c r="E136" s="78"/>
    </x:row>
    <x:row r="137">
      <x:c r="E137" s="78"/>
    </x:row>
    <x:row r="138">
      <x:c r="E138" s="78"/>
    </x:row>
    <x:row r="139">
      <x:c r="E139" s="78"/>
    </x:row>
    <x:row r="140">
      <x:c r="E140" s="78"/>
    </x:row>
    <x:row r="141">
      <x:c r="E141" s="78"/>
    </x:row>
    <x:row r="142">
      <x:c r="E142" s="78"/>
    </x:row>
    <x:row r="143">
      <x:c r="E143" s="78"/>
    </x:row>
    <x:row r="144">
      <x:c r="E144" s="78"/>
    </x:row>
    <x:row r="145">
      <x:c r="E145" s="78"/>
    </x:row>
    <x:row r="146">
      <x:c r="E146" s="78"/>
    </x:row>
    <x:row r="147">
      <x:c r="E147" s="78"/>
    </x:row>
    <x:row r="148">
      <x:c r="E148" s="78"/>
    </x:row>
    <x:row r="149">
      <x:c r="E149" s="78"/>
    </x:row>
    <x:row r="150">
      <x:c r="E150" s="78"/>
    </x:row>
    <x:row r="151">
      <x:c r="E151" s="78"/>
    </x:row>
    <x:row r="152">
      <x:c r="E152" s="78"/>
    </x:row>
    <x:row r="153">
      <x:c r="E153" s="78"/>
    </x:row>
    <x:row r="154">
      <x:c r="E154" s="78"/>
    </x:row>
    <x:row r="155">
      <x:c r="E155" s="78"/>
    </x:row>
    <x:row r="156">
      <x:c r="E156" s="78"/>
    </x:row>
    <x:row r="157">
      <x:c r="E157" s="78"/>
    </x:row>
    <x:row r="158">
      <x:c r="E158" s="78"/>
    </x:row>
    <x:row r="159">
      <x:c r="E159" s="78"/>
    </x:row>
    <x:row r="160">
      <x:c r="E160" s="78"/>
    </x:row>
    <x:row r="161">
      <x:c r="E161" s="78"/>
    </x:row>
    <x:row r="162">
      <x:c r="E162" s="78"/>
    </x:row>
    <x:row r="163">
      <x:c r="E163" s="78"/>
    </x:row>
    <x:row r="164">
      <x:c r="E164" s="78"/>
    </x:row>
    <x:row r="165">
      <x:c r="E165" s="78"/>
    </x:row>
    <x:row r="166">
      <x:c r="E166" s="78"/>
    </x:row>
    <x:row r="167">
      <x:c r="E167" s="78"/>
    </x:row>
    <x:row r="168">
      <x:c r="E168" s="78"/>
    </x:row>
    <x:row r="169">
      <x:c r="E169" s="78"/>
    </x:row>
    <x:row r="170">
      <x:c r="E170" s="78"/>
    </x:row>
    <x:row r="171">
      <x:c r="E171" s="78"/>
    </x:row>
    <x:row r="172">
      <x:c r="E172" s="78"/>
    </x:row>
    <x:row r="173">
      <x:c r="E173" s="78"/>
    </x:row>
    <x:row r="174">
      <x:c r="E174" s="78"/>
    </x:row>
    <x:row r="175">
      <x:c r="E175" s="78"/>
    </x:row>
    <x:row r="176">
      <x:c r="E176" s="78"/>
    </x:row>
    <x:row r="177">
      <x:c r="E177" s="78"/>
    </x:row>
    <x:row r="178">
      <x:c r="E178" s="78"/>
    </x:row>
    <x:row r="179">
      <x:c r="E179" s="78"/>
    </x:row>
    <x:row r="180">
      <x:c r="E180" s="78"/>
    </x:row>
    <x:row r="181">
      <x:c r="E181" s="78"/>
    </x:row>
    <x:row r="182">
      <x:c r="E182" s="78"/>
    </x:row>
    <x:row r="183">
      <x:c r="E183" s="78"/>
    </x:row>
    <x:row r="184">
      <x:c r="E184" s="78"/>
    </x:row>
    <x:row r="185">
      <x:c r="E185" s="78"/>
    </x:row>
    <x:row r="186">
      <x:c r="E186" s="78"/>
    </x:row>
    <x:row r="187">
      <x:c r="E187" s="78"/>
    </x:row>
    <x:row r="188">
      <x:c r="E188" s="78"/>
    </x:row>
    <x:row r="189">
      <x:c r="E189" s="78"/>
    </x:row>
    <x:row r="190">
      <x:c r="E190" s="78"/>
    </x:row>
    <x:row r="191">
      <x:c r="E191" s="78"/>
    </x:row>
    <x:row r="192">
      <x:c r="E192" s="78"/>
    </x:row>
    <x:row r="193">
      <x:c r="E193" s="78"/>
    </x:row>
    <x:row r="194">
      <x:c r="E194" s="78"/>
    </x:row>
    <x:row r="195">
      <x:c r="E195" s="78"/>
    </x:row>
    <x:row r="196">
      <x:c r="E196" s="78"/>
    </x:row>
    <x:row r="197">
      <x:c r="E197" s="78"/>
    </x:row>
    <x:row r="198">
      <x:c r="E198" s="78"/>
    </x:row>
    <x:row r="199">
      <x:c r="E199" s="78"/>
    </x:row>
    <x:row r="200">
      <x:c r="E200" s="78"/>
    </x:row>
    <x:row r="201">
      <x:c r="E201" s="78"/>
    </x:row>
    <x:row r="202">
      <x:c r="E202" s="78"/>
    </x:row>
    <x:row r="203">
      <x:c r="E203" s="78"/>
    </x:row>
    <x:row r="204">
      <x:c r="E204" s="78"/>
    </x:row>
  </x:sheetData>
  <x:mergeCells>
    <x:mergeCell ref="A1:J1"/>
    <x:mergeCell ref="A2:J2"/>
  </x:mergeCells>
  <x:dataValidations count="3">
    <x:dataValidation type="list" sqref="B5:B204">
      <x:formula1>"IDENTITY_QUEUE,QUALIFIED_QUEUE,CONTACT_QUEUE,EMAIL_VALIDATION_QUEUE,EMAIL_READY_QUEUE,LINKEDIN_MANUAL_QUEUE,CLIENT_READY_QUEUE,SOURCE_EXPANSION_QUEUE,HUMAN_REVIEW_QUEUE"</x:formula1>
    </x:dataValidation>
    <x:dataValidation type="list" sqref="C5:C204">
      <x:formula1>"P0,P1,P2,P3"</x:formula1>
    </x:dataValidation>
    <x:dataValidation type="list" sqref="F5:F204">
      <x:formula1>"PENDING,IN_PROGRESS,DONE,BLOCKED,COOLDOWN"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913eb70af4ec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22" hidden="0" customWidth="1"/>
    <x:col min="5" max="5" width="38" hidden="0" customWidth="1"/>
    <x:col min="6" max="6" width="30" hidden="0" customWidth="1"/>
    <x:col min="7" max="7" width="28" hidden="0" customWidth="1"/>
    <x:col min="8" max="8" width="34" hidden="0" customWidth="1"/>
    <x:col min="9" max="9" width="60" hidden="0" customWidth="1"/>
    <x:col min="10" max="10" width="30" hidden="0" customWidth="1"/>
    <x:col min="11" max="11" width="34" hidden="0" customWidth="1"/>
    <x:col min="12" max="12" width="34" hidden="0" customWidth="1"/>
    <x:col min="13" max="13" width="26" hidden="0" customWidth="1"/>
    <x:col min="14" max="14" width="58" hidden="0" customWidth="1"/>
    <x:col min="15" max="15" width="16" hidden="0" customWidth="1"/>
    <x:col min="16" max="16" width="44" hidden="0" customWidth="1"/>
  </x:cols>
  <x:sheetData>
    <x:row r="1" ht="34" customHeight="1">
      <x:c r="A1" s="86" t="str">
        <x:v>V21 Email-ready Pipeline｜Qualified與自動聯繫準備度分流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2" ht="38" customHeight="1">
      <x:c r="A2" s="89" t="str">
        <x:v>只收已通過Qualified Gate的人。Cake／LinkedIn可作公開聯絡深查來源；公開Gmail、工作Email或電話必須完成身分與來源驗證。Email不增加Fit Score。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</x:row>
    <x:row r="4" ht="30" customHeight="1">
      <x:c r="A4" s="98" t="str">
        <x:v>Candidate ID</x:v>
      </x:c>
      <x:c r="B4" s="99" t="str">
        <x:v>Name</x:v>
      </x:c>
      <x:c r="C4" s="99" t="str">
        <x:v>Qualified Class</x:v>
      </x:c>
      <x:c r="D4" s="99" t="str">
        <x:v>Identity Confidence</x:v>
      </x:c>
      <x:c r="E4" s="99" t="str">
        <x:v>Current / Recent Company</x:v>
      </x:c>
      <x:c r="F4" s="99" t="str">
        <x:v>Official Domain</x:v>
      </x:c>
      <x:c r="G4" s="99" t="str">
        <x:v>Email Availability Potential</x:v>
      </x:c>
      <x:c r="H4" s="99" t="str">
        <x:v>Public / Professional Email</x:v>
      </x:c>
      <x:c r="I4" s="99" t="str">
        <x:v>Email Source URL</x:v>
      </x:c>
      <x:c r="J4" s="99" t="str">
        <x:v>Verification Status</x:v>
      </x:c>
      <x:c r="K4" s="99" t="str">
        <x:v>Auto Outreach Readiness</x:v>
      </x:c>
      <x:c r="L4" s="99" t="str">
        <x:v>Second Person Channel</x:v>
      </x:c>
      <x:c r="M4" s="99" t="str">
        <x:v>Outreach Mode</x:v>
      </x:c>
      <x:c r="N4" s="99" t="str">
        <x:v>Required Next Action</x:v>
      </x:c>
      <x:c r="O4" s="99" t="str">
        <x:v>Last Checked</x:v>
      </x:c>
      <x:c r="P4" s="100" t="str">
        <x:v>Notes</x:v>
      </x:c>
    </x:row>
    <x:row r="5">
      <x:c r="O5" s="78"/>
    </x:row>
    <x:row r="6">
      <x:c r="O6" s="78"/>
    </x:row>
    <x:row r="7">
      <x:c r="O7" s="78"/>
    </x:row>
    <x:row r="8">
      <x:c r="O8" s="78"/>
    </x:row>
    <x:row r="9">
      <x:c r="O9" s="78"/>
    </x:row>
    <x:row r="10">
      <x:c r="O10" s="78"/>
    </x:row>
    <x:row r="11">
      <x:c r="O11" s="78"/>
    </x:row>
    <x:row r="12">
      <x:c r="O12" s="78"/>
    </x:row>
    <x:row r="13">
      <x:c r="O13" s="78"/>
    </x:row>
    <x:row r="14">
      <x:c r="O14" s="78"/>
    </x:row>
    <x:row r="15">
      <x:c r="O15" s="78"/>
    </x:row>
    <x:row r="16">
      <x:c r="O16" s="78"/>
    </x:row>
    <x:row r="17">
      <x:c r="O17" s="78"/>
    </x:row>
    <x:row r="18">
      <x:c r="O18" s="78"/>
    </x:row>
    <x:row r="19">
      <x:c r="O19" s="78"/>
    </x:row>
    <x:row r="20">
      <x:c r="O20" s="78"/>
    </x:row>
    <x:row r="21">
      <x:c r="O21" s="78"/>
    </x:row>
    <x:row r="22">
      <x:c r="O22" s="78"/>
    </x:row>
    <x:row r="23">
      <x:c r="O23" s="78"/>
    </x:row>
    <x:row r="24">
      <x:c r="O24" s="78"/>
    </x:row>
    <x:row r="25">
      <x:c r="O25" s="78"/>
    </x:row>
    <x:row r="26">
      <x:c r="O26" s="78"/>
    </x:row>
    <x:row r="27">
      <x:c r="O27" s="78"/>
    </x:row>
    <x:row r="28">
      <x:c r="O28" s="78"/>
    </x:row>
    <x:row r="29">
      <x:c r="O29" s="78"/>
    </x:row>
    <x:row r="30">
      <x:c r="O30" s="78"/>
    </x:row>
    <x:row r="31">
      <x:c r="O31" s="78"/>
    </x:row>
    <x:row r="32">
      <x:c r="O32" s="78"/>
    </x:row>
    <x:row r="33">
      <x:c r="O33" s="78"/>
    </x:row>
    <x:row r="34">
      <x:c r="O34" s="78"/>
    </x:row>
    <x:row r="35">
      <x:c r="O35" s="78"/>
    </x:row>
    <x:row r="36">
      <x:c r="O36" s="78"/>
    </x:row>
    <x:row r="37">
      <x:c r="O37" s="78"/>
    </x:row>
    <x:row r="38">
      <x:c r="O38" s="78"/>
    </x:row>
    <x:row r="39">
      <x:c r="O39" s="78"/>
    </x:row>
    <x:row r="40">
      <x:c r="O40" s="78"/>
    </x:row>
    <x:row r="41">
      <x:c r="O41" s="78"/>
    </x:row>
    <x:row r="42">
      <x:c r="O42" s="78"/>
    </x:row>
    <x:row r="43">
      <x:c r="O43" s="78"/>
    </x:row>
    <x:row r="44">
      <x:c r="O44" s="78"/>
    </x:row>
    <x:row r="45">
      <x:c r="O45" s="78"/>
    </x:row>
    <x:row r="46">
      <x:c r="O46" s="78"/>
    </x:row>
    <x:row r="47">
      <x:c r="O47" s="78"/>
    </x:row>
    <x:row r="48">
      <x:c r="O48" s="78"/>
    </x:row>
    <x:row r="49">
      <x:c r="O49" s="78"/>
    </x:row>
    <x:row r="50">
      <x:c r="O50" s="78"/>
    </x:row>
    <x:row r="51">
      <x:c r="O51" s="78"/>
    </x:row>
    <x:row r="52">
      <x:c r="O52" s="78"/>
    </x:row>
    <x:row r="53">
      <x:c r="O53" s="78"/>
    </x:row>
    <x:row r="54">
      <x:c r="O54" s="78"/>
    </x:row>
    <x:row r="55">
      <x:c r="O55" s="78"/>
    </x:row>
    <x:row r="56">
      <x:c r="O56" s="78"/>
    </x:row>
    <x:row r="57">
      <x:c r="O57" s="78"/>
    </x:row>
    <x:row r="58">
      <x:c r="O58" s="78"/>
    </x:row>
    <x:row r="59">
      <x:c r="O59" s="78"/>
    </x:row>
    <x:row r="60">
      <x:c r="O60" s="78"/>
    </x:row>
    <x:row r="61">
      <x:c r="O61" s="78"/>
    </x:row>
    <x:row r="62">
      <x:c r="O62" s="78"/>
    </x:row>
    <x:row r="63">
      <x:c r="O63" s="78"/>
    </x:row>
    <x:row r="64">
      <x:c r="O64" s="78"/>
    </x:row>
    <x:row r="65">
      <x:c r="O65" s="78"/>
    </x:row>
    <x:row r="66">
      <x:c r="O66" s="78"/>
    </x:row>
    <x:row r="67">
      <x:c r="O67" s="78"/>
    </x:row>
    <x:row r="68">
      <x:c r="O68" s="78"/>
    </x:row>
    <x:row r="69">
      <x:c r="O69" s="78"/>
    </x:row>
    <x:row r="70">
      <x:c r="O70" s="78"/>
    </x:row>
    <x:row r="71">
      <x:c r="O71" s="78"/>
    </x:row>
    <x:row r="72">
      <x:c r="O72" s="78"/>
    </x:row>
    <x:row r="73">
      <x:c r="O73" s="78"/>
    </x:row>
    <x:row r="74">
      <x:c r="O74" s="78"/>
    </x:row>
    <x:row r="75">
      <x:c r="O75" s="78"/>
    </x:row>
    <x:row r="76">
      <x:c r="O76" s="78"/>
    </x:row>
    <x:row r="77">
      <x:c r="O77" s="78"/>
    </x:row>
    <x:row r="78">
      <x:c r="O78" s="78"/>
    </x:row>
    <x:row r="79">
      <x:c r="O79" s="78"/>
    </x:row>
    <x:row r="80">
      <x:c r="O80" s="78"/>
    </x:row>
    <x:row r="81">
      <x:c r="O81" s="78"/>
    </x:row>
    <x:row r="82">
      <x:c r="O82" s="78"/>
    </x:row>
    <x:row r="83">
      <x:c r="O83" s="78"/>
    </x:row>
    <x:row r="84">
      <x:c r="O84" s="78"/>
    </x:row>
    <x:row r="85">
      <x:c r="O85" s="78"/>
    </x:row>
    <x:row r="86">
      <x:c r="O86" s="78"/>
    </x:row>
    <x:row r="87">
      <x:c r="O87" s="78"/>
    </x:row>
    <x:row r="88">
      <x:c r="O88" s="78"/>
    </x:row>
    <x:row r="89">
      <x:c r="O89" s="78"/>
    </x:row>
    <x:row r="90">
      <x:c r="O90" s="78"/>
    </x:row>
    <x:row r="91">
      <x:c r="O91" s="78"/>
    </x:row>
    <x:row r="92">
      <x:c r="O92" s="78"/>
    </x:row>
    <x:row r="93">
      <x:c r="O93" s="78"/>
    </x:row>
    <x:row r="94">
      <x:c r="O94" s="78"/>
    </x:row>
    <x:row r="95">
      <x:c r="O95" s="78"/>
    </x:row>
    <x:row r="96">
      <x:c r="O96" s="78"/>
    </x:row>
    <x:row r="97">
      <x:c r="O97" s="78"/>
    </x:row>
    <x:row r="98">
      <x:c r="O98" s="78"/>
    </x:row>
    <x:row r="99">
      <x:c r="O99" s="78"/>
    </x:row>
    <x:row r="100">
      <x:c r="O100" s="78"/>
    </x:row>
    <x:row r="101">
      <x:c r="O101" s="78"/>
    </x:row>
    <x:row r="102">
      <x:c r="O102" s="78"/>
    </x:row>
    <x:row r="103">
      <x:c r="O103" s="78"/>
    </x:row>
    <x:row r="104">
      <x:c r="O104" s="78"/>
    </x:row>
    <x:row r="105">
      <x:c r="O105" s="78"/>
    </x:row>
    <x:row r="106">
      <x:c r="O106" s="78"/>
    </x:row>
    <x:row r="107">
      <x:c r="O107" s="78"/>
    </x:row>
    <x:row r="108">
      <x:c r="O108" s="78"/>
    </x:row>
    <x:row r="109">
      <x:c r="O109" s="78"/>
    </x:row>
    <x:row r="110">
      <x:c r="O110" s="78"/>
    </x:row>
    <x:row r="111">
      <x:c r="O111" s="78"/>
    </x:row>
    <x:row r="112">
      <x:c r="O112" s="78"/>
    </x:row>
    <x:row r="113">
      <x:c r="O113" s="78"/>
    </x:row>
    <x:row r="114">
      <x:c r="O114" s="78"/>
    </x:row>
    <x:row r="115">
      <x:c r="O115" s="78"/>
    </x:row>
    <x:row r="116">
      <x:c r="O116" s="78"/>
    </x:row>
    <x:row r="117">
      <x:c r="O117" s="78"/>
    </x:row>
    <x:row r="118">
      <x:c r="O118" s="78"/>
    </x:row>
    <x:row r="119">
      <x:c r="O119" s="78"/>
    </x:row>
    <x:row r="120">
      <x:c r="O120" s="78"/>
    </x:row>
    <x:row r="121">
      <x:c r="O121" s="78"/>
    </x:row>
    <x:row r="122">
      <x:c r="O122" s="78"/>
    </x:row>
    <x:row r="123">
      <x:c r="O123" s="78"/>
    </x:row>
    <x:row r="124">
      <x:c r="O124" s="78"/>
    </x:row>
    <x:row r="125">
      <x:c r="O125" s="78"/>
    </x:row>
    <x:row r="126">
      <x:c r="O126" s="78"/>
    </x:row>
    <x:row r="127">
      <x:c r="O127" s="78"/>
    </x:row>
    <x:row r="128">
      <x:c r="O128" s="78"/>
    </x:row>
    <x:row r="129">
      <x:c r="O129" s="78"/>
    </x:row>
    <x:row r="130">
      <x:c r="O130" s="78"/>
    </x:row>
    <x:row r="131">
      <x:c r="O131" s="78"/>
    </x:row>
    <x:row r="132">
      <x:c r="O132" s="78"/>
    </x:row>
    <x:row r="133">
      <x:c r="O133" s="78"/>
    </x:row>
    <x:row r="134">
      <x:c r="O134" s="78"/>
    </x:row>
    <x:row r="135">
      <x:c r="O135" s="78"/>
    </x:row>
    <x:row r="136">
      <x:c r="O136" s="78"/>
    </x:row>
    <x:row r="137">
      <x:c r="O137" s="78"/>
    </x:row>
    <x:row r="138">
      <x:c r="O138" s="78"/>
    </x:row>
    <x:row r="139">
      <x:c r="O139" s="78"/>
    </x:row>
    <x:row r="140">
      <x:c r="O140" s="78"/>
    </x:row>
    <x:row r="141">
      <x:c r="O141" s="78"/>
    </x:row>
    <x:row r="142">
      <x:c r="O142" s="78"/>
    </x:row>
    <x:row r="143">
      <x:c r="O143" s="78"/>
    </x:row>
    <x:row r="144">
      <x:c r="O144" s="78"/>
    </x:row>
    <x:row r="145">
      <x:c r="O145" s="78"/>
    </x:row>
    <x:row r="146">
      <x:c r="O146" s="78"/>
    </x:row>
    <x:row r="147">
      <x:c r="O147" s="78"/>
    </x:row>
    <x:row r="148">
      <x:c r="O148" s="78"/>
    </x:row>
    <x:row r="149">
      <x:c r="O149" s="78"/>
    </x:row>
    <x:row r="150">
      <x:c r="O150" s="78"/>
    </x:row>
    <x:row r="151">
      <x:c r="O151" s="78"/>
    </x:row>
    <x:row r="152">
      <x:c r="O152" s="78"/>
    </x:row>
    <x:row r="153">
      <x:c r="O153" s="78"/>
    </x:row>
    <x:row r="154">
      <x:c r="O154" s="78"/>
    </x:row>
    <x:row r="155">
      <x:c r="O155" s="78"/>
    </x:row>
    <x:row r="156">
      <x:c r="O156" s="78"/>
    </x:row>
    <x:row r="157">
      <x:c r="O157" s="78"/>
    </x:row>
    <x:row r="158">
      <x:c r="O158" s="78"/>
    </x:row>
    <x:row r="159">
      <x:c r="O159" s="78"/>
    </x:row>
    <x:row r="160">
      <x:c r="O160" s="78"/>
    </x:row>
    <x:row r="161">
      <x:c r="O161" s="78"/>
    </x:row>
    <x:row r="162">
      <x:c r="O162" s="78"/>
    </x:row>
    <x:row r="163">
      <x:c r="O163" s="78"/>
    </x:row>
    <x:row r="164">
      <x:c r="O164" s="78"/>
    </x:row>
    <x:row r="165">
      <x:c r="O165" s="78"/>
    </x:row>
    <x:row r="166">
      <x:c r="O166" s="78"/>
    </x:row>
    <x:row r="167">
      <x:c r="O167" s="78"/>
    </x:row>
    <x:row r="168">
      <x:c r="O168" s="78"/>
    </x:row>
    <x:row r="169">
      <x:c r="O169" s="78"/>
    </x:row>
    <x:row r="170">
      <x:c r="O170" s="78"/>
    </x:row>
    <x:row r="171">
      <x:c r="O171" s="78"/>
    </x:row>
    <x:row r="172">
      <x:c r="O172" s="78"/>
    </x:row>
    <x:row r="173">
      <x:c r="O173" s="78"/>
    </x:row>
    <x:row r="174">
      <x:c r="O174" s="78"/>
    </x:row>
    <x:row r="175">
      <x:c r="O175" s="78"/>
    </x:row>
    <x:row r="176">
      <x:c r="O176" s="78"/>
    </x:row>
    <x:row r="177">
      <x:c r="O177" s="78"/>
    </x:row>
    <x:row r="178">
      <x:c r="O178" s="78"/>
    </x:row>
    <x:row r="179">
      <x:c r="O179" s="78"/>
    </x:row>
    <x:row r="180">
      <x:c r="O180" s="78"/>
    </x:row>
    <x:row r="181">
      <x:c r="O181" s="78"/>
    </x:row>
    <x:row r="182">
      <x:c r="O182" s="78"/>
    </x:row>
    <x:row r="183">
      <x:c r="O183" s="78"/>
    </x:row>
    <x:row r="184">
      <x:c r="O184" s="78"/>
    </x:row>
    <x:row r="185">
      <x:c r="O185" s="78"/>
    </x:row>
    <x:row r="186">
      <x:c r="O186" s="78"/>
    </x:row>
    <x:row r="187">
      <x:c r="O187" s="78"/>
    </x:row>
    <x:row r="188">
      <x:c r="O188" s="78"/>
    </x:row>
    <x:row r="189">
      <x:c r="O189" s="78"/>
    </x:row>
    <x:row r="190">
      <x:c r="O190" s="78"/>
    </x:row>
    <x:row r="191">
      <x:c r="O191" s="78"/>
    </x:row>
    <x:row r="192">
      <x:c r="O192" s="78"/>
    </x:row>
    <x:row r="193">
      <x:c r="O193" s="78"/>
    </x:row>
    <x:row r="194">
      <x:c r="O194" s="78"/>
    </x:row>
    <x:row r="195">
      <x:c r="O195" s="78"/>
    </x:row>
    <x:row r="196">
      <x:c r="O196" s="78"/>
    </x:row>
    <x:row r="197">
      <x:c r="O197" s="78"/>
    </x:row>
    <x:row r="198">
      <x:c r="O198" s="78"/>
    </x:row>
    <x:row r="199">
      <x:c r="O199" s="78"/>
    </x:row>
    <x:row r="200">
      <x:c r="O200" s="78"/>
    </x:row>
    <x:row r="201">
      <x:c r="O201" s="78"/>
    </x:row>
    <x:row r="202">
      <x:c r="O202" s="78"/>
    </x:row>
    <x:row r="203">
      <x:c r="O203" s="78"/>
    </x:row>
    <x:row r="204">
      <x:c r="O204" s="78"/>
    </x:row>
  </x:sheetData>
  <x:mergeCells>
    <x:mergeCell ref="A1:P1"/>
    <x:mergeCell ref="A2:P2"/>
  </x:mergeCells>
  <x:conditionalFormatting sqref="K5:K204">
    <x:cfRule type="expression" dxfId="7" priority="1">
      <x:formula>OR(K5="QUALIFIED_EMAIL_READY",K5="QUALIFIED_DUAL_CHANNEL_READY")</x:formula>
    </x:cfRule>
    <x:cfRule type="expression" dxfId="8" priority="2">
      <x:formula>K5="NO_AUTOMATABLE_CONTACT"</x:formula>
    </x:cfRule>
  </x:conditionalFormatting>
  <x:dataValidations count="6">
    <x:dataValidation type="list" sqref="C5:C204">
      <x:formula1>"DIRECT_TARGET,CONTACT_AFTER_CONFIRMATION"</x:formula1>
    </x:dataValidation>
    <x:dataValidation type="list" sqref="D5:D204">
      <x:formula1>"HIGH,MEDIUM,LOW,CONFLICT"</x:formula1>
    </x:dataValidation>
    <x:dataValidation type="list" sqref="G5:G204">
      <x:formula1>"HIGH,MEDIUM,LOW,UNKNOWN"</x:formula1>
    </x:dataValidation>
    <x:dataValidation type="list" sqref="J5:J204">
      <x:formula1>"NOT_STARTED,SOURCE_VERIFIED,IDENTITY_VERIFIED,DELIVERABILITY_VERIFIED,VENDOR_MATCH_PENDING_IDENTITY,INVALID,HUMAN_ACTION_REQUIRED"</x:formula1>
    </x:dataValidation>
    <x:dataValidation type="list" sqref="K5:K204">
      <x:formula1>"EMAIL_VALIDATION_REQUIRED,QUALIFIED_EMAIL_READY,QUALIFIED_DUAL_CHANNEL_READY,LINKEDIN_MANUAL_QUEUE,ORG_REFERRAL_QUEUE,NO_AUTOMATABLE_CONTACT"</x:formula1>
    </x:dataValidation>
    <x:dataValidation type="list" sqref="M5:M204">
      <x:formula1>"AUTO_EMAIL_HANDOFF,MANUAL_LINKEDIN,MANUAL_SOCIAL,ORG_REFERRAL,HOLD"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0b4eee7797417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8" hidden="0" customWidth="1"/>
    <x:col min="5" max="5" width="55" hidden="0" customWidth="1"/>
    <x:col min="6" max="6" width="38" hidden="0" customWidth="1"/>
    <x:col min="7" max="7" width="18" hidden="0" customWidth="1"/>
    <x:col min="8" max="8" width="56" hidden="0" customWidth="1"/>
    <x:col min="9" max="9" width="22" hidden="0" customWidth="1"/>
    <x:col min="10" max="10" width="20" hidden="0" customWidth="1"/>
    <x:col min="11" max="11" width="48" hidden="0" customWidth="1"/>
  </x:cols>
  <x:sheetData>
    <x:row r="1" ht="34" customHeight="1">
      <x:c r="A1" s="86" t="str">
        <x:v>LinkedIn Manual Queue｜Qualified但尚無Verified Email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</x:row>
    <x:row r="2" ht="38" customHeight="1">
      <x:c r="A2" s="103" t="str">
        <x:v>這是人工工作佇列，不是失敗名單。已完成公開Email路徑但只剩LinkedIn時才進入；新公司、Cake頁、作品、活動、網域或Featured連結出現後可重啟Email深搜。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</x:row>
    <x:row r="4" ht="30" customHeight="1">
      <x:c r="A4" s="98" t="str">
        <x:v>Queue ID</x:v>
      </x:c>
      <x:c r="B4" s="99" t="str">
        <x:v>Candidate ID</x:v>
      </x:c>
      <x:c r="C4" s="99" t="str">
        <x:v>Name</x:v>
      </x:c>
      <x:c r="D4" s="99" t="str">
        <x:v>Qualified Class</x:v>
      </x:c>
      <x:c r="E4" s="99" t="str">
        <x:v>LinkedIn URL</x:v>
      </x:c>
      <x:c r="F4" s="99" t="str">
        <x:v>Email Search Status</x:v>
      </x:c>
      <x:c r="G4" s="99" t="str">
        <x:v>Last Email Search</x:v>
      </x:c>
      <x:c r="H4" s="99" t="str">
        <x:v>Reopen Trigger</x:v>
      </x:c>
      <x:c r="I4" s="99" t="str">
        <x:v>Status</x:v>
      </x:c>
      <x:c r="J4" s="99" t="str">
        <x:v>Owner</x:v>
      </x:c>
      <x:c r="K4" s="100" t="str">
        <x:v>Notes</x:v>
      </x:c>
    </x:row>
    <x:row r="5">
      <x:c r="G5" s="78"/>
    </x:row>
    <x:row r="6">
      <x:c r="G6" s="78"/>
    </x:row>
    <x:row r="7">
      <x:c r="G7" s="78"/>
    </x:row>
    <x:row r="8">
      <x:c r="G8" s="78"/>
    </x:row>
    <x:row r="9">
      <x:c r="G9" s="78"/>
    </x:row>
    <x:row r="10">
      <x:c r="G10" s="78"/>
    </x:row>
    <x:row r="11">
      <x:c r="G11" s="78"/>
    </x:row>
    <x:row r="12">
      <x:c r="G12" s="78"/>
    </x:row>
    <x:row r="13">
      <x:c r="G13" s="78"/>
    </x:row>
    <x:row r="14">
      <x:c r="G14" s="78"/>
    </x:row>
    <x:row r="15">
      <x:c r="G15" s="78"/>
    </x:row>
    <x:row r="16">
      <x:c r="G16" s="78"/>
    </x:row>
    <x:row r="17">
      <x:c r="G17" s="78"/>
    </x:row>
    <x:row r="18">
      <x:c r="G18" s="78"/>
    </x:row>
    <x:row r="19">
      <x:c r="G19" s="78"/>
    </x:row>
    <x:row r="20">
      <x:c r="G20" s="78"/>
    </x:row>
    <x:row r="21">
      <x:c r="G21" s="78"/>
    </x:row>
    <x:row r="22">
      <x:c r="G22" s="78"/>
    </x:row>
    <x:row r="23">
      <x:c r="G23" s="78"/>
    </x:row>
    <x:row r="24">
      <x:c r="G24" s="78"/>
    </x:row>
    <x:row r="25">
      <x:c r="G25" s="78"/>
    </x:row>
    <x:row r="26">
      <x:c r="G26" s="78"/>
    </x:row>
    <x:row r="27">
      <x:c r="G27" s="78"/>
    </x:row>
    <x:row r="28">
      <x:c r="G28" s="78"/>
    </x:row>
    <x:row r="29">
      <x:c r="G29" s="78"/>
    </x:row>
    <x:row r="30">
      <x:c r="G30" s="78"/>
    </x:row>
    <x:row r="31">
      <x:c r="G31" s="78"/>
    </x:row>
    <x:row r="32">
      <x:c r="G32" s="78"/>
    </x:row>
    <x:row r="33">
      <x:c r="G33" s="78"/>
    </x:row>
    <x:row r="34">
      <x:c r="G34" s="78"/>
    </x:row>
    <x:row r="35">
      <x:c r="G35" s="78"/>
    </x:row>
    <x:row r="36">
      <x:c r="G36" s="78"/>
    </x:row>
    <x:row r="37">
      <x:c r="G37" s="78"/>
    </x:row>
    <x:row r="38">
      <x:c r="G38" s="78"/>
    </x:row>
    <x:row r="39">
      <x:c r="G39" s="78"/>
    </x:row>
    <x:row r="40">
      <x:c r="G40" s="78"/>
    </x:row>
    <x:row r="41">
      <x:c r="G41" s="78"/>
    </x:row>
    <x:row r="42">
      <x:c r="G42" s="78"/>
    </x:row>
    <x:row r="43">
      <x:c r="G43" s="78"/>
    </x:row>
    <x:row r="44">
      <x:c r="G44" s="78"/>
    </x:row>
    <x:row r="45">
      <x:c r="G45" s="78"/>
    </x:row>
    <x:row r="46">
      <x:c r="G46" s="78"/>
    </x:row>
    <x:row r="47">
      <x:c r="G47" s="78"/>
    </x:row>
    <x:row r="48">
      <x:c r="G48" s="78"/>
    </x:row>
    <x:row r="49">
      <x:c r="G49" s="78"/>
    </x:row>
    <x:row r="50">
      <x:c r="G50" s="78"/>
    </x:row>
    <x:row r="51">
      <x:c r="G51" s="78"/>
    </x:row>
    <x:row r="52">
      <x:c r="G52" s="78"/>
    </x:row>
    <x:row r="53">
      <x:c r="G53" s="78"/>
    </x:row>
    <x:row r="54">
      <x:c r="G54" s="78"/>
    </x:row>
    <x:row r="55">
      <x:c r="G55" s="78"/>
    </x:row>
    <x:row r="56">
      <x:c r="G56" s="78"/>
    </x:row>
    <x:row r="57">
      <x:c r="G57" s="78"/>
    </x:row>
    <x:row r="58">
      <x:c r="G58" s="78"/>
    </x:row>
    <x:row r="59">
      <x:c r="G59" s="78"/>
    </x:row>
    <x:row r="60">
      <x:c r="G60" s="78"/>
    </x:row>
    <x:row r="61">
      <x:c r="G61" s="78"/>
    </x:row>
    <x:row r="62">
      <x:c r="G62" s="78"/>
    </x:row>
    <x:row r="63">
      <x:c r="G63" s="78"/>
    </x:row>
    <x:row r="64">
      <x:c r="G64" s="78"/>
    </x:row>
    <x:row r="65">
      <x:c r="G65" s="78"/>
    </x:row>
    <x:row r="66">
      <x:c r="G66" s="78"/>
    </x:row>
    <x:row r="67">
      <x:c r="G67" s="78"/>
    </x:row>
    <x:row r="68">
      <x:c r="G68" s="78"/>
    </x:row>
    <x:row r="69">
      <x:c r="G69" s="78"/>
    </x:row>
    <x:row r="70">
      <x:c r="G70" s="78"/>
    </x:row>
    <x:row r="71">
      <x:c r="G71" s="78"/>
    </x:row>
    <x:row r="72">
      <x:c r="G72" s="78"/>
    </x:row>
    <x:row r="73">
      <x:c r="G73" s="78"/>
    </x:row>
    <x:row r="74">
      <x:c r="G74" s="78"/>
    </x:row>
    <x:row r="75">
      <x:c r="G75" s="78"/>
    </x:row>
    <x:row r="76">
      <x:c r="G76" s="78"/>
    </x:row>
    <x:row r="77">
      <x:c r="G77" s="78"/>
    </x:row>
    <x:row r="78">
      <x:c r="G78" s="78"/>
    </x:row>
    <x:row r="79">
      <x:c r="G79" s="78"/>
    </x:row>
    <x:row r="80">
      <x:c r="G80" s="78"/>
    </x:row>
    <x:row r="81">
      <x:c r="G81" s="78"/>
    </x:row>
    <x:row r="82">
      <x:c r="G82" s="78"/>
    </x:row>
    <x:row r="83">
      <x:c r="G83" s="78"/>
    </x:row>
    <x:row r="84">
      <x:c r="G84" s="78"/>
    </x:row>
    <x:row r="85">
      <x:c r="G85" s="78"/>
    </x:row>
    <x:row r="86">
      <x:c r="G86" s="78"/>
    </x:row>
    <x:row r="87">
      <x:c r="G87" s="78"/>
    </x:row>
    <x:row r="88">
      <x:c r="G88" s="78"/>
    </x:row>
    <x:row r="89">
      <x:c r="G89" s="78"/>
    </x:row>
    <x:row r="90">
      <x:c r="G90" s="78"/>
    </x:row>
    <x:row r="91">
      <x:c r="G91" s="78"/>
    </x:row>
    <x:row r="92">
      <x:c r="G92" s="78"/>
    </x:row>
    <x:row r="93">
      <x:c r="G93" s="78"/>
    </x:row>
    <x:row r="94">
      <x:c r="G94" s="78"/>
    </x:row>
    <x:row r="95">
      <x:c r="G95" s="78"/>
    </x:row>
    <x:row r="96">
      <x:c r="G96" s="78"/>
    </x:row>
    <x:row r="97">
      <x:c r="G97" s="78"/>
    </x:row>
    <x:row r="98">
      <x:c r="G98" s="78"/>
    </x:row>
    <x:row r="99">
      <x:c r="G99" s="78"/>
    </x:row>
    <x:row r="100">
      <x:c r="G100" s="78"/>
    </x:row>
    <x:row r="101">
      <x:c r="G101" s="78"/>
    </x:row>
    <x:row r="102">
      <x:c r="G102" s="78"/>
    </x:row>
    <x:row r="103">
      <x:c r="G103" s="78"/>
    </x:row>
    <x:row r="104">
      <x:c r="G104" s="78"/>
    </x:row>
    <x:row r="105">
      <x:c r="G105" s="78"/>
    </x:row>
    <x:row r="106">
      <x:c r="G106" s="78"/>
    </x:row>
    <x:row r="107">
      <x:c r="G107" s="78"/>
    </x:row>
    <x:row r="108">
      <x:c r="G108" s="78"/>
    </x:row>
    <x:row r="109">
      <x:c r="G109" s="78"/>
    </x:row>
    <x:row r="110">
      <x:c r="G110" s="78"/>
    </x:row>
    <x:row r="111">
      <x:c r="G111" s="78"/>
    </x:row>
    <x:row r="112">
      <x:c r="G112" s="78"/>
    </x:row>
    <x:row r="113">
      <x:c r="G113" s="78"/>
    </x:row>
    <x:row r="114">
      <x:c r="G114" s="78"/>
    </x:row>
    <x:row r="115">
      <x:c r="G115" s="78"/>
    </x:row>
    <x:row r="116">
      <x:c r="G116" s="78"/>
    </x:row>
    <x:row r="117">
      <x:c r="G117" s="78"/>
    </x:row>
    <x:row r="118">
      <x:c r="G118" s="78"/>
    </x:row>
    <x:row r="119">
      <x:c r="G119" s="78"/>
    </x:row>
    <x:row r="120">
      <x:c r="G120" s="78"/>
    </x:row>
    <x:row r="121">
      <x:c r="G121" s="78"/>
    </x:row>
    <x:row r="122">
      <x:c r="G122" s="78"/>
    </x:row>
    <x:row r="123">
      <x:c r="G123" s="78"/>
    </x:row>
    <x:row r="124">
      <x:c r="G124" s="78"/>
    </x:row>
    <x:row r="125">
      <x:c r="G125" s="78"/>
    </x:row>
    <x:row r="126">
      <x:c r="G126" s="78"/>
    </x:row>
    <x:row r="127">
      <x:c r="G127" s="78"/>
    </x:row>
    <x:row r="128">
      <x:c r="G128" s="78"/>
    </x:row>
    <x:row r="129">
      <x:c r="G129" s="78"/>
    </x:row>
    <x:row r="130">
      <x:c r="G130" s="78"/>
    </x:row>
    <x:row r="131">
      <x:c r="G131" s="78"/>
    </x:row>
    <x:row r="132">
      <x:c r="G132" s="78"/>
    </x:row>
    <x:row r="133">
      <x:c r="G133" s="78"/>
    </x:row>
    <x:row r="134">
      <x:c r="G134" s="78"/>
    </x:row>
    <x:row r="135">
      <x:c r="G135" s="78"/>
    </x:row>
    <x:row r="136">
      <x:c r="G136" s="78"/>
    </x:row>
    <x:row r="137">
      <x:c r="G137" s="78"/>
    </x:row>
    <x:row r="138">
      <x:c r="G138" s="78"/>
    </x:row>
    <x:row r="139">
      <x:c r="G139" s="78"/>
    </x:row>
    <x:row r="140">
      <x:c r="G140" s="78"/>
    </x:row>
    <x:row r="141">
      <x:c r="G141" s="78"/>
    </x:row>
    <x:row r="142">
      <x:c r="G142" s="78"/>
    </x:row>
    <x:row r="143">
      <x:c r="G143" s="78"/>
    </x:row>
    <x:row r="144">
      <x:c r="G144" s="78"/>
    </x:row>
    <x:row r="145">
      <x:c r="G145" s="78"/>
    </x:row>
    <x:row r="146">
      <x:c r="G146" s="78"/>
    </x:row>
    <x:row r="147">
      <x:c r="G147" s="78"/>
    </x:row>
    <x:row r="148">
      <x:c r="G148" s="78"/>
    </x:row>
    <x:row r="149">
      <x:c r="G149" s="78"/>
    </x:row>
    <x:row r="150">
      <x:c r="G150" s="78"/>
    </x:row>
    <x:row r="151">
      <x:c r="G151" s="78"/>
    </x:row>
    <x:row r="152">
      <x:c r="G152" s="78"/>
    </x:row>
    <x:row r="153">
      <x:c r="G153" s="78"/>
    </x:row>
    <x:row r="154">
      <x:c r="G154" s="78"/>
    </x:row>
    <x:row r="155">
      <x:c r="G155" s="78"/>
    </x:row>
    <x:row r="156">
      <x:c r="G156" s="78"/>
    </x:row>
    <x:row r="157">
      <x:c r="G157" s="78"/>
    </x:row>
    <x:row r="158">
      <x:c r="G158" s="78"/>
    </x:row>
    <x:row r="159">
      <x:c r="G159" s="78"/>
    </x:row>
    <x:row r="160">
      <x:c r="G160" s="78"/>
    </x:row>
    <x:row r="161">
      <x:c r="G161" s="78"/>
    </x:row>
    <x:row r="162">
      <x:c r="G162" s="78"/>
    </x:row>
    <x:row r="163">
      <x:c r="G163" s="78"/>
    </x:row>
    <x:row r="164">
      <x:c r="G164" s="78"/>
    </x:row>
    <x:row r="165">
      <x:c r="G165" s="78"/>
    </x:row>
    <x:row r="166">
      <x:c r="G166" s="78"/>
    </x:row>
    <x:row r="167">
      <x:c r="G167" s="78"/>
    </x:row>
    <x:row r="168">
      <x:c r="G168" s="78"/>
    </x:row>
    <x:row r="169">
      <x:c r="G169" s="78"/>
    </x:row>
    <x:row r="170">
      <x:c r="G170" s="78"/>
    </x:row>
    <x:row r="171">
      <x:c r="G171" s="78"/>
    </x:row>
    <x:row r="172">
      <x:c r="G172" s="78"/>
    </x:row>
    <x:row r="173">
      <x:c r="G173" s="78"/>
    </x:row>
    <x:row r="174">
      <x:c r="G174" s="78"/>
    </x:row>
    <x:row r="175">
      <x:c r="G175" s="78"/>
    </x:row>
    <x:row r="176">
      <x:c r="G176" s="78"/>
    </x:row>
    <x:row r="177">
      <x:c r="G177" s="78"/>
    </x:row>
    <x:row r="178">
      <x:c r="G178" s="78"/>
    </x:row>
    <x:row r="179">
      <x:c r="G179" s="78"/>
    </x:row>
    <x:row r="180">
      <x:c r="G180" s="78"/>
    </x:row>
    <x:row r="181">
      <x:c r="G181" s="78"/>
    </x:row>
    <x:row r="182">
      <x:c r="G182" s="78"/>
    </x:row>
    <x:row r="183">
      <x:c r="G183" s="78"/>
    </x:row>
    <x:row r="184">
      <x:c r="G184" s="78"/>
    </x:row>
    <x:row r="185">
      <x:c r="G185" s="78"/>
    </x:row>
    <x:row r="186">
      <x:c r="G186" s="78"/>
    </x:row>
    <x:row r="187">
      <x:c r="G187" s="78"/>
    </x:row>
    <x:row r="188">
      <x:c r="G188" s="78"/>
    </x:row>
    <x:row r="189">
      <x:c r="G189" s="78"/>
    </x:row>
    <x:row r="190">
      <x:c r="G190" s="78"/>
    </x:row>
    <x:row r="191">
      <x:c r="G191" s="78"/>
    </x:row>
    <x:row r="192">
      <x:c r="G192" s="78"/>
    </x:row>
    <x:row r="193">
      <x:c r="G193" s="78"/>
    </x:row>
    <x:row r="194">
      <x:c r="G194" s="78"/>
    </x:row>
    <x:row r="195">
      <x:c r="G195" s="78"/>
    </x:row>
    <x:row r="196">
      <x:c r="G196" s="78"/>
    </x:row>
    <x:row r="197">
      <x:c r="G197" s="78"/>
    </x:row>
    <x:row r="198">
      <x:c r="G198" s="78"/>
    </x:row>
    <x:row r="199">
      <x:c r="G199" s="78"/>
    </x:row>
    <x:row r="200">
      <x:c r="G200" s="78"/>
    </x:row>
    <x:row r="201">
      <x:c r="G201" s="78"/>
    </x:row>
    <x:row r="202">
      <x:c r="G202" s="78"/>
    </x:row>
    <x:row r="203">
      <x:c r="G203" s="78"/>
    </x:row>
    <x:row r="204">
      <x:c r="G204" s="78"/>
    </x:row>
  </x:sheetData>
  <x:mergeCells>
    <x:mergeCell ref="A1:K1"/>
    <x:mergeCell ref="A2:K2"/>
  </x:mergeCells>
  <x:dataValidations count="2">
    <x:dataValidation type="list" sqref="F5:F204">
      <x:formula1>"CONTACT_NOT_PUBLIC_AFTER_DEEP_SEARCH,EMAIL_VALIDATION_REQUIRED,HUMAN_ACTION_REQUIRED"</x:formula1>
    </x:dataValidation>
    <x:dataValidation type="list" sqref="I5:I204">
      <x:formula1>"PENDING,IN_PROGRESS,CONTACTED,REOPEN_EMAIL_SEARCH,DONE,BLOCKED"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af246f638e4b5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  <x:col min="9" max="9" width="26" hidden="0" customWidth="1"/>
    <x:col min="10" max="10" width="22" hidden="0" customWidth="1"/>
    <x:col min="11" max="11" width="16" hidden="0" customWidth="1"/>
    <x:col min="12" max="12" width="60" hidden="0" customWidth="1"/>
    <x:col min="13" max="13" width="60" hidden="0" customWidth="1"/>
  </x:cols>
  <x:sheetData>
    <x:row r="1" ht="34" customHeight="1">
      <x:c r="A1" s="86" t="str">
        <x:v>Contact Source Yield｜Fit產出與Email-ready產出分開評分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</x:row>
    <x:row r="2" ht="38" customHeight="1">
      <x:c r="A2" s="89" t="str">
        <x:v>Qualified人數多但Email為0時，只降低Auto-contact優先度，不否定Fit價值。至少10位Qualified仍為0 Email，或兩輪Email-ready率低於10%，應開啟新的contact-rich錨點。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</x:row>
    <x:row r="4" ht="30" customHeight="1">
      <x:c r="A4" s="112" t="str">
        <x:v>Source ID</x:v>
      </x:c>
      <x:c r="B4" s="113" t="str">
        <x:v>Source Type</x:v>
      </x:c>
      <x:c r="C4" s="113" t="str">
        <x:v>Anchor</x:v>
      </x:c>
      <x:c r="D4" s="113" t="str">
        <x:v>Qualified Reviewed</x:v>
      </x:c>
      <x:c r="E4" s="113" t="str">
        <x:v>Domain Ready</x:v>
      </x:c>
      <x:c r="F4" s="113" t="str">
        <x:v>Verified Email</x:v>
      </x:c>
      <x:c r="G4" s="113" t="str">
        <x:v>Dual Channel</x:v>
      </x:c>
      <x:c r="H4" s="113" t="str">
        <x:v>Email-ready Rate</x:v>
      </x:c>
      <x:c r="I4" s="113" t="str">
        <x:v>Auto-contact Potential</x:v>
      </x:c>
      <x:c r="J4" s="113" t="str">
        <x:v>State</x:v>
      </x:c>
      <x:c r="K4" s="113" t="str">
        <x:v>Last Run</x:v>
      </x:c>
      <x:c r="L4" s="113" t="str">
        <x:v>Next Action</x:v>
      </x:c>
      <x:c r="M4" s="114" t="str">
        <x:v>Source URL</x:v>
      </x:c>
    </x:row>
    <x:row r="5">
      <x:c r="H5" s="48" t="str">
        <x:f>IF(D5="","",IFERROR(F5/D5,0))</x:f>
      </x:c>
      <x:c r="K5" s="78"/>
    </x:row>
    <x:row r="6">
      <x:c r="H6" s="48" t="str">
        <x:f>IF(D6="","",IFERROR(F6/D6,0))</x:f>
      </x:c>
      <x:c r="K6" s="78"/>
    </x:row>
    <x:row r="7">
      <x:c r="H7" s="48" t="str">
        <x:f>IF(D7="","",IFERROR(F7/D7,0))</x:f>
      </x:c>
      <x:c r="K7" s="78"/>
    </x:row>
    <x:row r="8">
      <x:c r="H8" s="48" t="str">
        <x:f>IF(D8="","",IFERROR(F8/D8,0))</x:f>
      </x:c>
      <x:c r="K8" s="78"/>
    </x:row>
    <x:row r="9">
      <x:c r="H9" s="48" t="str">
        <x:f>IF(D9="","",IFERROR(F9/D9,0))</x:f>
      </x:c>
      <x:c r="K9" s="78"/>
    </x:row>
    <x:row r="10">
      <x:c r="H10" s="48" t="str">
        <x:f>IF(D10="","",IFERROR(F10/D10,0))</x:f>
      </x:c>
      <x:c r="K10" s="78"/>
    </x:row>
    <x:row r="11">
      <x:c r="H11" s="48" t="str">
        <x:f>IF(D11="","",IFERROR(F11/D11,0))</x:f>
      </x:c>
      <x:c r="K11" s="78"/>
    </x:row>
    <x:row r="12">
      <x:c r="H12" s="48" t="str">
        <x:f>IF(D12="","",IFERROR(F12/D12,0))</x:f>
      </x:c>
      <x:c r="K12" s="78"/>
    </x:row>
    <x:row r="13">
      <x:c r="H13" s="48" t="str">
        <x:f>IF(D13="","",IFERROR(F13/D13,0))</x:f>
      </x:c>
      <x:c r="K13" s="78"/>
    </x:row>
    <x:row r="14">
      <x:c r="H14" s="48" t="str">
        <x:f>IF(D14="","",IFERROR(F14/D14,0))</x:f>
      </x:c>
      <x:c r="K14" s="78"/>
    </x:row>
    <x:row r="15">
      <x:c r="H15" s="48" t="str">
        <x:f>IF(D15="","",IFERROR(F15/D15,0))</x:f>
      </x:c>
      <x:c r="K15" s="78"/>
    </x:row>
    <x:row r="16">
      <x:c r="H16" s="48" t="str">
        <x:f>IF(D16="","",IFERROR(F16/D16,0))</x:f>
      </x:c>
      <x:c r="K16" s="78"/>
    </x:row>
    <x:row r="17">
      <x:c r="H17" s="48" t="str">
        <x:f>IF(D17="","",IFERROR(F17/D17,0))</x:f>
      </x:c>
      <x:c r="K17" s="78"/>
    </x:row>
    <x:row r="18">
      <x:c r="H18" s="48" t="str">
        <x:f>IF(D18="","",IFERROR(F18/D18,0))</x:f>
      </x:c>
      <x:c r="K18" s="78"/>
    </x:row>
    <x:row r="19">
      <x:c r="H19" s="48" t="str">
        <x:f>IF(D19="","",IFERROR(F19/D19,0))</x:f>
      </x:c>
      <x:c r="K19" s="78"/>
    </x:row>
    <x:row r="20">
      <x:c r="H20" s="48" t="str">
        <x:f>IF(D20="","",IFERROR(F20/D20,0))</x:f>
      </x:c>
      <x:c r="K20" s="78"/>
    </x:row>
    <x:row r="21">
      <x:c r="H21" s="48" t="str">
        <x:f>IF(D21="","",IFERROR(F21/D21,0))</x:f>
      </x:c>
      <x:c r="K21" s="78"/>
    </x:row>
    <x:row r="22">
      <x:c r="H22" s="48" t="str">
        <x:f>IF(D22="","",IFERROR(F22/D22,0))</x:f>
      </x:c>
      <x:c r="K22" s="78"/>
    </x:row>
    <x:row r="23">
      <x:c r="H23" s="48" t="str">
        <x:f>IF(D23="","",IFERROR(F23/D23,0))</x:f>
      </x:c>
      <x:c r="K23" s="78"/>
    </x:row>
    <x:row r="24">
      <x:c r="H24" s="48" t="str">
        <x:f>IF(D24="","",IFERROR(F24/D24,0))</x:f>
      </x:c>
      <x:c r="K24" s="78"/>
    </x:row>
    <x:row r="25">
      <x:c r="H25" s="48" t="str">
        <x:f>IF(D25="","",IFERROR(F25/D25,0))</x:f>
      </x:c>
      <x:c r="K25" s="78"/>
    </x:row>
    <x:row r="26">
      <x:c r="H26" s="48" t="str">
        <x:f>IF(D26="","",IFERROR(F26/D26,0))</x:f>
      </x:c>
      <x:c r="K26" s="78"/>
    </x:row>
    <x:row r="27">
      <x:c r="H27" s="48" t="str">
        <x:f>IF(D27="","",IFERROR(F27/D27,0))</x:f>
      </x:c>
      <x:c r="K27" s="78"/>
    </x:row>
    <x:row r="28">
      <x:c r="H28" s="48" t="str">
        <x:f>IF(D28="","",IFERROR(F28/D28,0))</x:f>
      </x:c>
      <x:c r="K28" s="78"/>
    </x:row>
    <x:row r="29">
      <x:c r="H29" s="48" t="str">
        <x:f>IF(D29="","",IFERROR(F29/D29,0))</x:f>
      </x:c>
      <x:c r="K29" s="78"/>
    </x:row>
    <x:row r="30">
      <x:c r="H30" s="48" t="str">
        <x:f>IF(D30="","",IFERROR(F30/D30,0))</x:f>
      </x:c>
      <x:c r="K30" s="78"/>
    </x:row>
    <x:row r="31">
      <x:c r="H31" s="48" t="str">
        <x:f>IF(D31="","",IFERROR(F31/D31,0))</x:f>
      </x:c>
      <x:c r="K31" s="78"/>
    </x:row>
    <x:row r="32">
      <x:c r="H32" s="48" t="str">
        <x:f>IF(D32="","",IFERROR(F32/D32,0))</x:f>
      </x:c>
      <x:c r="K32" s="78"/>
    </x:row>
    <x:row r="33">
      <x:c r="H33" s="48" t="str">
        <x:f>IF(D33="","",IFERROR(F33/D33,0))</x:f>
      </x:c>
      <x:c r="K33" s="78"/>
    </x:row>
    <x:row r="34">
      <x:c r="H34" s="48" t="str">
        <x:f>IF(D34="","",IFERROR(F34/D34,0))</x:f>
      </x:c>
      <x:c r="K34" s="78"/>
    </x:row>
    <x:row r="35">
      <x:c r="H35" s="48" t="str">
        <x:f>IF(D35="","",IFERROR(F35/D35,0))</x:f>
      </x:c>
      <x:c r="K35" s="78"/>
    </x:row>
    <x:row r="36">
      <x:c r="H36" s="48" t="str">
        <x:f>IF(D36="","",IFERROR(F36/D36,0))</x:f>
      </x:c>
      <x:c r="K36" s="78"/>
    </x:row>
    <x:row r="37">
      <x:c r="H37" s="48" t="str">
        <x:f>IF(D37="","",IFERROR(F37/D37,0))</x:f>
      </x:c>
      <x:c r="K37" s="78"/>
    </x:row>
    <x:row r="38">
      <x:c r="H38" s="48" t="str">
        <x:f>IF(D38="","",IFERROR(F38/D38,0))</x:f>
      </x:c>
      <x:c r="K38" s="78"/>
    </x:row>
    <x:row r="39">
      <x:c r="H39" s="48" t="str">
        <x:f>IF(D39="","",IFERROR(F39/D39,0))</x:f>
      </x:c>
      <x:c r="K39" s="78"/>
    </x:row>
    <x:row r="40">
      <x:c r="H40" s="48" t="str">
        <x:f>IF(D40="","",IFERROR(F40/D40,0))</x:f>
      </x:c>
      <x:c r="K40" s="78"/>
    </x:row>
    <x:row r="41">
      <x:c r="H41" s="48" t="str">
        <x:f>IF(D41="","",IFERROR(F41/D41,0))</x:f>
      </x:c>
      <x:c r="K41" s="78"/>
    </x:row>
    <x:row r="42">
      <x:c r="H42" s="48" t="str">
        <x:f>IF(D42="","",IFERROR(F42/D42,0))</x:f>
      </x:c>
      <x:c r="K42" s="78"/>
    </x:row>
    <x:row r="43">
      <x:c r="H43" s="48" t="str">
        <x:f>IF(D43="","",IFERROR(F43/D43,0))</x:f>
      </x:c>
      <x:c r="K43" s="78"/>
    </x:row>
    <x:row r="44">
      <x:c r="H44" s="48" t="str">
        <x:f>IF(D44="","",IFERROR(F44/D44,0))</x:f>
      </x:c>
      <x:c r="K44" s="78"/>
    </x:row>
    <x:row r="45">
      <x:c r="H45" s="48" t="str">
        <x:f>IF(D45="","",IFERROR(F45/D45,0))</x:f>
      </x:c>
      <x:c r="K45" s="78"/>
    </x:row>
    <x:row r="46">
      <x:c r="H46" s="48" t="str">
        <x:f>IF(D46="","",IFERROR(F46/D46,0))</x:f>
      </x:c>
      <x:c r="K46" s="78"/>
    </x:row>
    <x:row r="47">
      <x:c r="H47" s="48" t="str">
        <x:f>IF(D47="","",IFERROR(F47/D47,0))</x:f>
      </x:c>
      <x:c r="K47" s="78"/>
    </x:row>
    <x:row r="48">
      <x:c r="H48" s="48" t="str">
        <x:f>IF(D48="","",IFERROR(F48/D48,0))</x:f>
      </x:c>
      <x:c r="K48" s="78"/>
    </x:row>
    <x:row r="49">
      <x:c r="H49" s="48" t="str">
        <x:f>IF(D49="","",IFERROR(F49/D49,0))</x:f>
      </x:c>
      <x:c r="K49" s="78"/>
    </x:row>
    <x:row r="50">
      <x:c r="H50" s="48" t="str">
        <x:f>IF(D50="","",IFERROR(F50/D50,0))</x:f>
      </x:c>
      <x:c r="K50" s="78"/>
    </x:row>
    <x:row r="51">
      <x:c r="H51" s="48" t="str">
        <x:f>IF(D51="","",IFERROR(F51/D51,0))</x:f>
      </x:c>
      <x:c r="K51" s="78"/>
    </x:row>
    <x:row r="52">
      <x:c r="H52" s="48" t="str">
        <x:f>IF(D52="","",IFERROR(F52/D52,0))</x:f>
      </x:c>
      <x:c r="K52" s="78"/>
    </x:row>
    <x:row r="53">
      <x:c r="H53" s="48" t="str">
        <x:f>IF(D53="","",IFERROR(F53/D53,0))</x:f>
      </x:c>
      <x:c r="K53" s="78"/>
    </x:row>
    <x:row r="54">
      <x:c r="H54" s="48" t="str">
        <x:f>IF(D54="","",IFERROR(F54/D54,0))</x:f>
      </x:c>
      <x:c r="K54" s="78"/>
    </x:row>
    <x:row r="55">
      <x:c r="H55" s="48" t="str">
        <x:f>IF(D55="","",IFERROR(F55/D55,0))</x:f>
      </x:c>
      <x:c r="K55" s="78"/>
    </x:row>
    <x:row r="56">
      <x:c r="H56" s="48" t="str">
        <x:f>IF(D56="","",IFERROR(F56/D56,0))</x:f>
      </x:c>
      <x:c r="K56" s="78"/>
    </x:row>
    <x:row r="57">
      <x:c r="H57" s="48" t="str">
        <x:f>IF(D57="","",IFERROR(F57/D57,0))</x:f>
      </x:c>
      <x:c r="K57" s="78"/>
    </x:row>
    <x:row r="58">
      <x:c r="H58" s="48" t="str">
        <x:f>IF(D58="","",IFERROR(F58/D58,0))</x:f>
      </x:c>
      <x:c r="K58" s="78"/>
    </x:row>
    <x:row r="59">
      <x:c r="H59" s="48" t="str">
        <x:f>IF(D59="","",IFERROR(F59/D59,0))</x:f>
      </x:c>
      <x:c r="K59" s="78"/>
    </x:row>
    <x:row r="60">
      <x:c r="H60" s="48" t="str">
        <x:f>IF(D60="","",IFERROR(F60/D60,0))</x:f>
      </x:c>
      <x:c r="K60" s="78"/>
    </x:row>
    <x:row r="61">
      <x:c r="H61" s="48" t="str">
        <x:f>IF(D61="","",IFERROR(F61/D61,0))</x:f>
      </x:c>
      <x:c r="K61" s="78"/>
    </x:row>
    <x:row r="62">
      <x:c r="H62" s="48" t="str">
        <x:f>IF(D62="","",IFERROR(F62/D62,0))</x:f>
      </x:c>
      <x:c r="K62" s="78"/>
    </x:row>
    <x:row r="63">
      <x:c r="H63" s="48" t="str">
        <x:f>IF(D63="","",IFERROR(F63/D63,0))</x:f>
      </x:c>
      <x:c r="K63" s="78"/>
    </x:row>
    <x:row r="64">
      <x:c r="H64" s="48" t="str">
        <x:f>IF(D64="","",IFERROR(F64/D64,0))</x:f>
      </x:c>
      <x:c r="K64" s="78"/>
    </x:row>
    <x:row r="65">
      <x:c r="H65" s="48" t="str">
        <x:f>IF(D65="","",IFERROR(F65/D65,0))</x:f>
      </x:c>
      <x:c r="K65" s="78"/>
    </x:row>
    <x:row r="66">
      <x:c r="H66" s="48" t="str">
        <x:f>IF(D66="","",IFERROR(F66/D66,0))</x:f>
      </x:c>
      <x:c r="K66" s="78"/>
    </x:row>
    <x:row r="67">
      <x:c r="H67" s="48" t="str">
        <x:f>IF(D67="","",IFERROR(F67/D67,0))</x:f>
      </x:c>
      <x:c r="K67" s="78"/>
    </x:row>
    <x:row r="68">
      <x:c r="H68" s="48" t="str">
        <x:f>IF(D68="","",IFERROR(F68/D68,0))</x:f>
      </x:c>
      <x:c r="K68" s="78"/>
    </x:row>
    <x:row r="69">
      <x:c r="H69" s="48" t="str">
        <x:f>IF(D69="","",IFERROR(F69/D69,0))</x:f>
      </x:c>
      <x:c r="K69" s="78"/>
    </x:row>
    <x:row r="70">
      <x:c r="H70" s="48" t="str">
        <x:f>IF(D70="","",IFERROR(F70/D70,0))</x:f>
      </x:c>
      <x:c r="K70" s="78"/>
    </x:row>
    <x:row r="71">
      <x:c r="H71" s="48" t="str">
        <x:f>IF(D71="","",IFERROR(F71/D71,0))</x:f>
      </x:c>
      <x:c r="K71" s="78"/>
    </x:row>
    <x:row r="72">
      <x:c r="H72" s="48" t="str">
        <x:f>IF(D72="","",IFERROR(F72/D72,0))</x:f>
      </x:c>
      <x:c r="K72" s="78"/>
    </x:row>
    <x:row r="73">
      <x:c r="H73" s="48" t="str">
        <x:f>IF(D73="","",IFERROR(F73/D73,0))</x:f>
      </x:c>
      <x:c r="K73" s="78"/>
    </x:row>
    <x:row r="74">
      <x:c r="H74" s="48" t="str">
        <x:f>IF(D74="","",IFERROR(F74/D74,0))</x:f>
      </x:c>
      <x:c r="K74" s="78"/>
    </x:row>
    <x:row r="75">
      <x:c r="H75" s="48" t="str">
        <x:f>IF(D75="","",IFERROR(F75/D75,0))</x:f>
      </x:c>
      <x:c r="K75" s="78"/>
    </x:row>
    <x:row r="76">
      <x:c r="H76" s="48" t="str">
        <x:f>IF(D76="","",IFERROR(F76/D76,0))</x:f>
      </x:c>
      <x:c r="K76" s="78"/>
    </x:row>
    <x:row r="77">
      <x:c r="H77" s="48" t="str">
        <x:f>IF(D77="","",IFERROR(F77/D77,0))</x:f>
      </x:c>
      <x:c r="K77" s="78"/>
    </x:row>
    <x:row r="78">
      <x:c r="H78" s="48" t="str">
        <x:f>IF(D78="","",IFERROR(F78/D78,0))</x:f>
      </x:c>
      <x:c r="K78" s="78"/>
    </x:row>
    <x:row r="79">
      <x:c r="H79" s="48" t="str">
        <x:f>IF(D79="","",IFERROR(F79/D79,0))</x:f>
      </x:c>
      <x:c r="K79" s="78"/>
    </x:row>
    <x:row r="80">
      <x:c r="H80" s="48" t="str">
        <x:f>IF(D80="","",IFERROR(F80/D80,0))</x:f>
      </x:c>
      <x:c r="K80" s="78"/>
    </x:row>
    <x:row r="81">
      <x:c r="H81" s="48" t="str">
        <x:f>IF(D81="","",IFERROR(F81/D81,0))</x:f>
      </x:c>
      <x:c r="K81" s="78"/>
    </x:row>
    <x:row r="82">
      <x:c r="H82" s="48" t="str">
        <x:f>IF(D82="","",IFERROR(F82/D82,0))</x:f>
      </x:c>
      <x:c r="K82" s="78"/>
    </x:row>
    <x:row r="83">
      <x:c r="H83" s="48" t="str">
        <x:f>IF(D83="","",IFERROR(F83/D83,0))</x:f>
      </x:c>
      <x:c r="K83" s="78"/>
    </x:row>
    <x:row r="84">
      <x:c r="H84" s="48" t="str">
        <x:f>IF(D84="","",IFERROR(F84/D84,0))</x:f>
      </x:c>
      <x:c r="K84" s="78"/>
    </x:row>
    <x:row r="85">
      <x:c r="H85" s="48" t="str">
        <x:f>IF(D85="","",IFERROR(F85/D85,0))</x:f>
      </x:c>
      <x:c r="K85" s="78"/>
    </x:row>
    <x:row r="86">
      <x:c r="H86" s="48" t="str">
        <x:f>IF(D86="","",IFERROR(F86/D86,0))</x:f>
      </x:c>
      <x:c r="K86" s="78"/>
    </x:row>
    <x:row r="87">
      <x:c r="H87" s="48" t="str">
        <x:f>IF(D87="","",IFERROR(F87/D87,0))</x:f>
      </x:c>
      <x:c r="K87" s="78"/>
    </x:row>
    <x:row r="88">
      <x:c r="H88" s="48" t="str">
        <x:f>IF(D88="","",IFERROR(F88/D88,0))</x:f>
      </x:c>
      <x:c r="K88" s="78"/>
    </x:row>
    <x:row r="89">
      <x:c r="H89" s="48" t="str">
        <x:f>IF(D89="","",IFERROR(F89/D89,0))</x:f>
      </x:c>
      <x:c r="K89" s="78"/>
    </x:row>
    <x:row r="90">
      <x:c r="H90" s="48" t="str">
        <x:f>IF(D90="","",IFERROR(F90/D90,0))</x:f>
      </x:c>
      <x:c r="K90" s="78"/>
    </x:row>
    <x:row r="91">
      <x:c r="H91" s="48" t="str">
        <x:f>IF(D91="","",IFERROR(F91/D91,0))</x:f>
      </x:c>
      <x:c r="K91" s="78"/>
    </x:row>
    <x:row r="92">
      <x:c r="H92" s="48" t="str">
        <x:f>IF(D92="","",IFERROR(F92/D92,0))</x:f>
      </x:c>
      <x:c r="K92" s="78"/>
    </x:row>
    <x:row r="93">
      <x:c r="H93" s="48" t="str">
        <x:f>IF(D93="","",IFERROR(F93/D93,0))</x:f>
      </x:c>
      <x:c r="K93" s="78"/>
    </x:row>
    <x:row r="94">
      <x:c r="H94" s="48" t="str">
        <x:f>IF(D94="","",IFERROR(F94/D94,0))</x:f>
      </x:c>
      <x:c r="K94" s="78"/>
    </x:row>
    <x:row r="95">
      <x:c r="H95" s="48" t="str">
        <x:f>IF(D95="","",IFERROR(F95/D95,0))</x:f>
      </x:c>
      <x:c r="K95" s="78"/>
    </x:row>
    <x:row r="96">
      <x:c r="H96" s="48" t="str">
        <x:f>IF(D96="","",IFERROR(F96/D96,0))</x:f>
      </x:c>
      <x:c r="K96" s="78"/>
    </x:row>
    <x:row r="97">
      <x:c r="H97" s="48" t="str">
        <x:f>IF(D97="","",IFERROR(F97/D97,0))</x:f>
      </x:c>
      <x:c r="K97" s="78"/>
    </x:row>
    <x:row r="98">
      <x:c r="H98" s="48" t="str">
        <x:f>IF(D98="","",IFERROR(F98/D98,0))</x:f>
      </x:c>
      <x:c r="K98" s="78"/>
    </x:row>
    <x:row r="99">
      <x:c r="H99" s="48" t="str">
        <x:f>IF(D99="","",IFERROR(F99/D99,0))</x:f>
      </x:c>
      <x:c r="K99" s="78"/>
    </x:row>
    <x:row r="100">
      <x:c r="H100" s="48" t="str">
        <x:f>IF(D100="","",IFERROR(F100/D100,0))</x:f>
      </x:c>
      <x:c r="K100" s="78"/>
    </x:row>
    <x:row r="101">
      <x:c r="H101" s="48" t="str">
        <x:f>IF(D101="","",IFERROR(F101/D101,0))</x:f>
      </x:c>
      <x:c r="K101" s="78"/>
    </x:row>
    <x:row r="102">
      <x:c r="H102" s="48" t="str">
        <x:f>IF(D102="","",IFERROR(F102/D102,0))</x:f>
      </x:c>
      <x:c r="K102" s="78"/>
    </x:row>
    <x:row r="103">
      <x:c r="H103" s="48" t="str">
        <x:f>IF(D103="","",IFERROR(F103/D103,0))</x:f>
      </x:c>
      <x:c r="K103" s="78"/>
    </x:row>
    <x:row r="104">
      <x:c r="H104" s="48" t="str">
        <x:f>IF(D104="","",IFERROR(F104/D104,0))</x:f>
      </x:c>
      <x:c r="K104" s="78"/>
    </x:row>
  </x:sheetData>
  <x:mergeCells>
    <x:mergeCell ref="A1:M1"/>
    <x:mergeCell ref="A2:M2"/>
  </x:mergeCells>
  <x:conditionalFormatting sqref="H5:H104">
    <x:cfRule type="expression" dxfId="9" priority="1">
      <x:formula>AND($D5&lt;&gt;"",$H5&lt;0.1)</x:formula>
    </x:cfRule>
  </x:conditionalFormatting>
  <x:dataValidations count="2">
    <x:dataValidation type="list" sqref="I5:I104">
      <x:formula1>"HIGH,MEDIUM,LOW,UNKNOWN"</x:formula1>
    </x:dataValidation>
    <x:dataValidation type="list" sqref="J5:J104">
      <x:formula1>"ACTIVE,FIT_ONLY,CONTACT_ROTATE,COOLDOWN,EXHAUSTED,BLOCKED"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8aeb4bbc5448f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0" hidden="0" customWidth="1"/>
    <x:col min="4" max="4" width="54" hidden="0" customWidth="1"/>
    <x:col min="5" max="5" width="4" hidden="0" customWidth="1"/>
    <x:col min="6" max="6" width="14" hidden="0" customWidth="1"/>
    <x:col min="7" max="7" width="25" hidden="0" customWidth="1"/>
    <x:col min="8" max="8" width="56" hidden="0" customWidth="1"/>
    <x:col min="9" max="9" width="48" hidden="0" customWidth="1"/>
    <x:col min="10" max="10" width="18" hidden="0" customWidth="1"/>
    <x:col min="11" max="11" width="42" hidden="0" customWidth="1"/>
    <x:col min="12" max="12" width="26" hidden="0" customWidth="1"/>
  </x:cols>
  <x:sheetData>
    <x:row r="1" ht="38" customHeight="1">
      <x:c r="A1" s="121" t="str">
        <x:v>V22 JOB ROUTE CALIBRATION | Lock the archetype, then test five samples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 ht="44" customHeight="1">
      <x:c r="A2" s="125" t="str">
        <x:v>Ask no more than 3 missing high-impact questions. ARCHETYPE_LOCKED is required before sampling; at least 4 of 5 MATCH is required before 30–100 person scaling or Email/phone deep-search.</x:v>
      </x:c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</x:row>
    <x:row r="4" ht="30" customHeight="1">
      <x:c r="A4" s="128" t="str">
        <x:v>Archetype Lock</x:v>
      </x:c>
      <x:c r="B4" s="128" t="str">
        <x:v>Value</x:v>
      </x:c>
      <x:c r="C4" s="128" t="str">
        <x:v>Status</x:v>
      </x:c>
      <x:c r="D4" s="128" t="str">
        <x:v>Evidence / Human Decision</x:v>
      </x:c>
      <x:c r="F4" s="133" t="str">
        <x:v>Sample ID</x:v>
      </x:c>
      <x:c r="G4" s="133" t="str">
        <x:v>Candidate</x:v>
      </x:c>
      <x:c r="H4" s="133" t="str">
        <x:v>Source URL</x:v>
      </x:c>
      <x:c r="I4" s="133" t="str">
        <x:v>Observed Evidence</x:v>
      </x:c>
      <x:c r="J4" s="133" t="str">
        <x:v>Result</x:v>
      </x:c>
      <x:c r="K4" s="133" t="str">
        <x:v>Mismatch Reason</x:v>
      </x:c>
      <x:c r="L4" s="133" t="str">
        <x:v>Contact Deep-search</x:v>
      </x:c>
    </x:row>
    <x:row r="5" ht="42" customHeight="1">
      <x:c r="A5" s="130" t="str">
        <x:v>JD URL</x:v>
      </x:c>
      <x:c r="B5" s="130" t="str">
        <x:v>TO_FILL</x:v>
      </x:c>
      <x:c r="C5" s="130" t="str">
        <x:v>NOT_STARTED</x:v>
      </x:c>
      <x:c r="D5" s="130" t="str"/>
      <x:c r="F5" s="130" t="str">
        <x:v>CAL-01</x:v>
      </x:c>
      <x:c r="G5" s="130" t="str">
        <x:v>TO_FIND</x:v>
      </x:c>
      <x:c r="H5" s="130" t="str"/>
      <x:c r="I5" s="130" t="str"/>
      <x:c r="J5" s="130" t="str">
        <x:v>UNCERTAIN</x:v>
      </x:c>
      <x:c r="K5" s="130" t="str"/>
      <x:c r="L5" s="130" t="str">
        <x:v>BLOCKED_UNTIL_PASS</x:v>
      </x:c>
    </x:row>
    <x:row r="6" ht="42" customHeight="1">
      <x:c r="A6" s="130" t="str">
        <x:v>Broad Job Family</x:v>
      </x:c>
      <x:c r="B6" s="130" t="str">
        <x:v>TO_ASSIGN</x:v>
      </x:c>
      <x:c r="C6" s="130" t="str">
        <x:v>NOT_STARTED</x:v>
      </x:c>
      <x:c r="D6" s="130" t="str"/>
      <x:c r="F6" s="130" t="str">
        <x:v>CAL-02</x:v>
      </x:c>
      <x:c r="G6" s="130" t="str">
        <x:v>TO_FIND</x:v>
      </x:c>
      <x:c r="H6" s="130" t="str"/>
      <x:c r="I6" s="130" t="str"/>
      <x:c r="J6" s="130" t="str">
        <x:v>UNCERTAIN</x:v>
      </x:c>
      <x:c r="K6" s="130" t="str"/>
      <x:c r="L6" s="130" t="str">
        <x:v>BLOCKED_UNTIL_PASS</x:v>
      </x:c>
    </x:row>
    <x:row r="7" ht="42" customHeight="1">
      <x:c r="A7" s="130" t="str">
        <x:v>Candidate Form</x:v>
      </x:c>
      <x:c r="B7" s="130" t="str">
        <x:v>TO_CONFIRM</x:v>
      </x:c>
      <x:c r="C7" s="130" t="str">
        <x:v>ARCHETYPE_NEEDS_CONFIRMATION</x:v>
      </x:c>
      <x:c r="D7" s="130" t="str">
        <x:v>真人/虛擬/幕後/混合</x:v>
      </x:c>
      <x:c r="F7" s="130" t="str">
        <x:v>CAL-03</x:v>
      </x:c>
      <x:c r="G7" s="130" t="str">
        <x:v>TO_FIND</x:v>
      </x:c>
      <x:c r="H7" s="130" t="str"/>
      <x:c r="I7" s="130" t="str"/>
      <x:c r="J7" s="130" t="str">
        <x:v>UNCERTAIN</x:v>
      </x:c>
      <x:c r="K7" s="130" t="str"/>
      <x:c r="L7" s="130" t="str">
        <x:v>BLOCKED_UNTIL_PASS</x:v>
      </x:c>
    </x:row>
    <x:row r="8" ht="42" customHeight="1">
      <x:c r="A8" s="130" t="str">
        <x:v>Actual Work / Content Mode</x:v>
      </x:c>
      <x:c r="B8" s="130" t="str">
        <x:v>TO_CONFIRM</x:v>
      </x:c>
      <x:c r="C8" s="130" t="str">
        <x:v>ARCHETYPE_NEEDS_CONFIRMATION</x:v>
      </x:c>
      <x:c r="D8" s="130" t="str">
        <x:v>才藝/聊天/帶貨/遊戲/專業內容/其他</x:v>
      </x:c>
      <x:c r="F8" s="130" t="str">
        <x:v>CAL-04</x:v>
      </x:c>
      <x:c r="G8" s="130" t="str">
        <x:v>TO_FIND</x:v>
      </x:c>
      <x:c r="H8" s="130" t="str"/>
      <x:c r="I8" s="130" t="str"/>
      <x:c r="J8" s="130" t="str">
        <x:v>UNCERTAIN</x:v>
      </x:c>
      <x:c r="K8" s="130" t="str"/>
      <x:c r="L8" s="130" t="str">
        <x:v>BLOCKED_UNTIL_PASS</x:v>
      </x:c>
    </x:row>
    <x:row r="9" ht="42" customHeight="1">
      <x:c r="A9" s="130" t="str">
        <x:v>Talent Maturity / Visibility</x:v>
      </x:c>
      <x:c r="B9" s="130" t="str">
        <x:v>TO_CONFIRM</x:v>
      </x:c>
      <x:c r="C9" s="130" t="str">
        <x:v>ARCHETYPE_NEEDS_CONFIRMATION</x:v>
      </x:c>
      <x:c r="D9" s="130" t="str">
        <x:v>素人可培養/相鄰經驗/成熟人才；EMERGING/GROWING/ESTABLISHED/CELEBRITY；設定知名度上限</x:v>
      </x:c>
      <x:c r="F9" s="130" t="str">
        <x:v>CAL-05</x:v>
      </x:c>
      <x:c r="G9" s="130" t="str">
        <x:v>TO_FIND</x:v>
      </x:c>
      <x:c r="H9" s="130" t="str"/>
      <x:c r="I9" s="130" t="str"/>
      <x:c r="J9" s="130" t="str">
        <x:v>UNCERTAIN</x:v>
      </x:c>
      <x:c r="K9" s="130" t="str"/>
      <x:c r="L9" s="130" t="str">
        <x:v>BLOCKED_UNTIL_PASS</x:v>
      </x:c>
    </x:row>
    <x:row r="10">
      <x:c r="A10" s="130" t="str">
        <x:v>Positive Archetypes</x:v>
      </x:c>
      <x:c r="B10" s="130" t="str">
        <x:v>TO_FILL</x:v>
      </x:c>
      <x:c r="C10" s="130" t="str">
        <x:v>NOT_STARTED</x:v>
      </x:c>
      <x:c r="D10" s="130" t="str">
        <x:v>至少2個可觀察的人才類型</x:v>
      </x:c>
    </x:row>
    <x:row r="11">
      <x:c r="A11" s="130" t="str">
        <x:v>Explicit Exclusions</x:v>
      </x:c>
      <x:c r="B11" s="130" t="str">
        <x:v>TO_FILL</x:v>
      </x:c>
      <x:c r="C11" s="130" t="str">
        <x:v>NOT_STARTED</x:v>
      </x:c>
      <x:c r="D11" s="130" t="str">
        <x:v>至少2個明確不找的類型</x:v>
      </x:c>
      <x:c r="F11" s="127" t="str">
        <x:v>Metric</x:v>
      </x:c>
      <x:c r="G11" s="127" t="str">
        <x:v>Value</x:v>
      </x:c>
      <x:c r="H11" s="127" t="str">
        <x:v>Gate</x:v>
      </x:c>
      <x:c r="I11" s="127" t="str">
        <x:v>Next Action</x:v>
      </x:c>
    </x:row>
    <x:row r="12">
      <x:c r="A12" s="130" t="str">
        <x:v>Required Public Evidence</x:v>
      </x:c>
      <x:c r="B12" s="130" t="str">
        <x:v>TO_FILL</x:v>
      </x:c>
      <x:c r="C12" s="130" t="str">
        <x:v>NOT_STARTED</x:v>
      </x:c>
      <x:c r="D12" s="130" t="str">
        <x:v>作品/直播/專案/證照/職涯行為</x:v>
      </x:c>
      <x:c r="F12" s="130" t="str">
        <x:v>MATCH</x:v>
      </x:c>
      <x:c r="G12" s="130" t="n">
        <x:f>COUNTIF(J5:J9,"MATCH")</x:f>
        <x:v>0</x:v>
      </x:c>
      <x:c r="H12" s="130" t="str">
        <x:v>&gt;=4</x:v>
      </x:c>
      <x:c r="I12" s="130" t="str">
        <x:v>Continue sample review</x:v>
      </x:c>
    </x:row>
    <x:row r="13">
      <x:c r="A13" s="130" t="str">
        <x:v>Allowed Source Ecosystems</x:v>
      </x:c>
      <x:c r="B13" s="130" t="str">
        <x:v>TO_FILL</x:v>
      </x:c>
      <x:c r="C13" s="130" t="str">
        <x:v>NOT_STARTED</x:v>
      </x:c>
      <x:c r="D13" s="130" t="str">
        <x:v>可開始取樣的來源</x:v>
      </x:c>
      <x:c r="F13" s="130" t="str">
        <x:v>MISMATCH</x:v>
      </x:c>
      <x:c r="G13" s="130" t="n">
        <x:f>COUNTIF(J5:J9,"MISMATCH")</x:f>
        <x:v>0</x:v>
      </x:c>
      <x:c r="H13" s="130" t="str">
        <x:v>&lt;=1</x:v>
      </x:c>
      <x:c r="I13" s="130" t="str">
        <x:v>Revise negative archetype</x:v>
      </x:c>
    </x:row>
    <x:row r="14">
      <x:c r="A14" s="130" t="str">
        <x:v>Blocked Source Ecosystems</x:v>
      </x:c>
      <x:c r="B14" s="130" t="str">
        <x:v>TO_FILL</x:v>
      </x:c>
      <x:c r="C14" s="130" t="str">
        <x:v>NOT_STARTED</x:v>
      </x:c>
      <x:c r="D14" s="130" t="str">
        <x:v>高量但會產生錯誤人選的來源</x:v>
      </x:c>
      <x:c r="F14" s="130" t="str">
        <x:v>UNCERTAIN</x:v>
      </x:c>
      <x:c r="G14" s="130" t="n">
        <x:f>COUNTIF(J5:J9,"UNCERTAIN")</x:f>
        <x:v>5</x:v>
      </x:c>
      <x:c r="H14" s="130" t="str">
        <x:v>0 preferred</x:v>
      </x:c>
      <x:c r="I14" s="130" t="str">
        <x:v>Resolve before scaling</x:v>
      </x:c>
    </x:row>
    <x:row r="15">
      <x:c r="A15" s="130" t="str">
        <x:v>Hard Gates After Contact</x:v>
      </x:c>
      <x:c r="B15" s="130" t="str">
        <x:v>TO_FILL</x:v>
      </x:c>
      <x:c r="C15" s="130" t="str">
        <x:v>NOT_STARTED</x:v>
      </x:c>
      <x:c r="D15" s="130" t="str">
        <x:v>不可由公開資料推定的條件</x:v>
      </x:c>
      <x:c r="F15" s="130" t="str">
        <x:v>Calibration Status</x:v>
      </x:c>
      <x:c r="G15" s="130" t="str">
        <x:f>IF(G12&gt;=4,IF(G12=5,"CALIBRATION_PASSED_5_OF_5","CALIBRATION_PASSED_4_OF_5"),"ROUTE_CALIBRATION_FAILED")</x:f>
        <x:v>ROUTE_CALIBRATION_FAILED</x:v>
      </x:c>
      <x:c r="H15" s="130" t="str">
        <x:v>4/5 required</x:v>
      </x:c>
      <x:c r="I15" s="130" t="str">
        <x:v>If failed: revise Lock and retest 5</x:v>
      </x:c>
    </x:row>
    <x:row r="16">
      <x:c r="A16" s="130" t="str">
        <x:v>Archetype Lock</x:v>
      </x:c>
      <x:c r="B16" s="130" t="str">
        <x:v>PENDING</x:v>
      </x:c>
      <x:c r="C16" s="130" t="str">
        <x:v>ARCHETYPE_NEEDS_CONFIRMATION</x:v>
      </x:c>
      <x:c r="D16" s="130" t="str">
        <x:v>需人類確認或已有明確對話證據</x:v>
      </x:c>
      <x:c r="F16" s="130" t="str">
        <x:v>Bulk Sourcing</x:v>
      </x:c>
      <x:c r="G16" s="130" t="str">
        <x:f>IF(G12&gt;=4,"ALLOWED","BLOCKED")</x:f>
        <x:v>BLOCKED</x:v>
      </x:c>
      <x:c r="H16" s="130" t="str">
        <x:v>Only after pass</x:v>
      </x:c>
      <x:c r="I16" s="130" t="str">
        <x:v>Then build Source Map and Contact Plan</x:v>
      </x:c>
    </x:row>
    <x:row r="17" ht="34" customHeight="1">
      <x:c r="A17" s="136" t="str">
        <x:v>Calibration MATCH must satisfy capability + maturity + visibility/fame ceiling + realistic recruitability. Famous but unreachable examples are mismatches, not successes.</x:v>
      </x:c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</x:row>
    <x:row r="18" ht="34" customHeight="1">
      <x:c r="A18" s="139" t="str">
        <x:v>Mandatory livestream split: REAL_PERSON_LIVESTREAM (on-camera talent/chat/commerce) ≠ VIRTUAL_CREATOR_LIVESTREAM (VTuber) ≠ GAME_STREAMER (gameplay-first).</x:v>
      </x:c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</x:row>
  </x:sheetData>
  <x:mergeCells>
    <x:mergeCell ref="A1:L1"/>
    <x:mergeCell ref="A2:L2"/>
    <x:mergeCell ref="A17:L17"/>
    <x:mergeCell ref="A18:L18"/>
  </x:mergeCells>
  <x:conditionalFormatting sqref="C5:C16">
    <x:cfRule type="expression" dxfId="10" priority="1">
      <x:formula>C5="ARCHETYPE_LOCKED"</x:formula>
    </x:cfRule>
    <x:cfRule type="expression" dxfId="11" priority="2">
      <x:formula>C5="ROUTE_CALIBRATION_FAILED"</x:formula>
    </x:cfRule>
  </x:conditionalFormatting>
  <x:conditionalFormatting sqref="J5:J9">
    <x:cfRule type="expression" dxfId="12" priority="3">
      <x:formula>J5="MATCH"</x:formula>
    </x:cfRule>
    <x:cfRule type="expression" dxfId="13" priority="4">
      <x:formula>J5="MISMATCH"</x:formula>
    </x:cfRule>
  </x:conditionalFormatting>
  <x:conditionalFormatting sqref="G15:G16">
    <x:cfRule type="expression" dxfId="14" priority="5">
      <x:formula>OR(G15="CALIBRATION_PASSED_4_OF_5",G15="CALIBRATION_PASSED_5_OF_5",G15="ALLOWED")</x:formula>
    </x:cfRule>
    <x:cfRule type="expression" dxfId="15" priority="6">
      <x:formula>OR(G15="ROUTE_CALIBRATION_FAILED",G15="BLOCKED")</x:formula>
    </x:cfRule>
  </x:conditionalFormatting>
  <x:dataValidations count="3">
    <x:dataValidation type="list" sqref="C5:C16">
      <x:formula1>"NOT_STARTED,ARCHETYPE_NEEDS_CONFIRMATION,ARCHETYPE_LOCKED,ROUTE_CALIBRATION_FAILED"</x:formula1>
    </x:dataValidation>
    <x:dataValidation type="list" sqref="J5:J9">
      <x:formula1>"MATCH,MISMATCH,UNCERTAIN"</x:formula1>
    </x:dataValidation>
    <x:dataValidation type="list" sqref="L5:L9">
      <x:formula1>"BLOCKED_UNTIL_PASS,ALLOWED_AFTER_PASS"</x:formula1>
    </x:dataValidation>
  </x:dataValidations>
  <x:pageMargins left="0.7" right="0.7" top="0.75" bottom="0.75" header="0.3" footer="0.3"/>
</x:worksheet>
</file>